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1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ooseleaf420.sharepoint.com/sites/LooseLeafDominicanaGlobalHub/Shared Documents/Inventory/"/>
    </mc:Choice>
  </mc:AlternateContent>
  <xr:revisionPtr revIDLastSave="0" documentId="8_{3FC6A846-1347-42D9-A17C-79742E1198FC}" xr6:coauthVersionLast="47" xr6:coauthVersionMax="47" xr10:uidLastSave="{00000000-0000-0000-0000-000000000000}"/>
  <bookViews>
    <workbookView xWindow="-110" yWindow="-110" windowWidth="19420" windowHeight="10300" firstSheet="1" activeTab="5" xr2:uid="{1AB0D246-D99D-4F55-A397-2216E1BEFDB1}"/>
  </bookViews>
  <sheets>
    <sheet name=" BD QR LOTE" sheetId="7" state="hidden" r:id="rId1"/>
    <sheet name="Inventory" sheetId="5" r:id="rId2"/>
    <sheet name="Input" sheetId="4" r:id="rId3"/>
    <sheet name="output" sheetId="8" r:id="rId4"/>
    <sheet name="Sheet1" sheetId="10" r:id="rId5"/>
    <sheet name="Inventory Test" sheetId="11" r:id="rId6"/>
    <sheet name="conversion" sheetId="9" state="hidden" r:id="rId7"/>
  </sheets>
  <calcPr calcId="191028"/>
  <pivotCaches>
    <pivotCache cacheId="5205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1" l="1"/>
  <c r="E10" i="11"/>
  <c r="E9" i="11"/>
  <c r="E8" i="11"/>
  <c r="E7" i="11"/>
  <c r="E6" i="11"/>
  <c r="E5" i="11"/>
  <c r="E4" i="11"/>
  <c r="E3" i="11"/>
  <c r="E3" i="5"/>
  <c r="E4" i="5"/>
  <c r="E5" i="5"/>
  <c r="E6" i="5"/>
  <c r="E7" i="5"/>
  <c r="E8" i="5"/>
  <c r="E9" i="5"/>
  <c r="E10" i="5"/>
  <c r="E11" i="5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A8" i="4"/>
  <c r="D11" i="11" s="1"/>
  <c r="F11" i="11" s="1"/>
  <c r="G11" i="11" s="1"/>
  <c r="M11" i="11" s="1"/>
  <c r="B7" i="4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D4" i="11" l="1"/>
  <c r="F4" i="11" s="1"/>
  <c r="G4" i="11" s="1"/>
  <c r="M4" i="11" s="1"/>
  <c r="D6" i="11"/>
  <c r="F6" i="11" s="1"/>
  <c r="G6" i="11" s="1"/>
  <c r="M6" i="11" s="1"/>
  <c r="D8" i="11"/>
  <c r="F8" i="11" s="1"/>
  <c r="G8" i="11" s="1"/>
  <c r="M8" i="11" s="1"/>
  <c r="D10" i="11"/>
  <c r="F10" i="11" s="1"/>
  <c r="G10" i="11" s="1"/>
  <c r="M10" i="11" s="1"/>
  <c r="D3" i="11"/>
  <c r="F3" i="11" s="1"/>
  <c r="G3" i="11" s="1"/>
  <c r="M3" i="11" s="1"/>
  <c r="D5" i="11"/>
  <c r="F5" i="11" s="1"/>
  <c r="G5" i="11" s="1"/>
  <c r="M5" i="11" s="1"/>
  <c r="D7" i="11"/>
  <c r="F7" i="11" s="1"/>
  <c r="G7" i="11" s="1"/>
  <c r="M7" i="11" s="1"/>
  <c r="D9" i="11"/>
  <c r="F9" i="11" s="1"/>
  <c r="G9" i="11" s="1"/>
  <c r="M9" i="11" s="1"/>
  <c r="B8" i="4"/>
  <c r="D3" i="5"/>
  <c r="F3" i="5" s="1"/>
  <c r="G3" i="5" s="1"/>
  <c r="M3" i="5" s="1"/>
  <c r="D4" i="5"/>
  <c r="F4" i="5" s="1"/>
  <c r="G4" i="5" s="1"/>
  <c r="M4" i="5" s="1"/>
  <c r="D5" i="5"/>
  <c r="F5" i="5" s="1"/>
  <c r="G5" i="5" s="1"/>
  <c r="M5" i="5" s="1"/>
  <c r="D6" i="5"/>
  <c r="F6" i="5" s="1"/>
  <c r="G6" i="5" s="1"/>
  <c r="M6" i="5" s="1"/>
  <c r="D7" i="5"/>
  <c r="F7" i="5" s="1"/>
  <c r="G7" i="5" s="1"/>
  <c r="M7" i="5" s="1"/>
  <c r="D8" i="5"/>
  <c r="F8" i="5" s="1"/>
  <c r="G8" i="5" s="1"/>
  <c r="M8" i="5" s="1"/>
  <c r="D9" i="5"/>
  <c r="F9" i="5" s="1"/>
  <c r="G9" i="5" s="1"/>
  <c r="M9" i="5" s="1"/>
  <c r="D10" i="5"/>
  <c r="F10" i="5" s="1"/>
  <c r="G10" i="5" s="1"/>
  <c r="M10" i="5" s="1"/>
  <c r="D11" i="5"/>
  <c r="F11" i="5" s="1"/>
  <c r="G11" i="5" s="1"/>
  <c r="M11" i="5" s="1"/>
  <c r="P23" i="7"/>
  <c r="P24" i="7"/>
  <c r="P25" i="7"/>
  <c r="P26" i="7"/>
  <c r="P22" i="7"/>
  <c r="G17" i="9"/>
  <c r="C17" i="9" s="1"/>
  <c r="G11" i="9"/>
  <c r="C11" i="9" s="1"/>
  <c r="G3" i="9"/>
  <c r="C3" i="9" s="1"/>
  <c r="P20" i="7" l="1"/>
  <c r="P21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</calcChain>
</file>

<file path=xl/sharedStrings.xml><?xml version="1.0" encoding="utf-8"?>
<sst xmlns="http://schemas.openxmlformats.org/spreadsheetml/2006/main" count="278" uniqueCount="122">
  <si>
    <t>Data Base for Code QR- LooseLeaf Cold Room</t>
  </si>
  <si>
    <t>lote</t>
  </si>
  <si>
    <t>codigo</t>
  </si>
  <si>
    <t>Name</t>
  </si>
  <si>
    <t>Quantity (Box)</t>
  </si>
  <si>
    <t>Quantity (Units Per Box)</t>
  </si>
  <si>
    <t>Month</t>
  </si>
  <si>
    <t>Year</t>
  </si>
  <si>
    <t>Supplier Name</t>
  </si>
  <si>
    <t>Registration Date</t>
  </si>
  <si>
    <t>Location</t>
  </si>
  <si>
    <t>Area of ​​use</t>
  </si>
  <si>
    <t xml:space="preserve">
Reception date</t>
  </si>
  <si>
    <t>Address Supplier</t>
  </si>
  <si>
    <t>RNC</t>
  </si>
  <si>
    <t>Phone Contac</t>
  </si>
  <si>
    <t>Weight per BOX (Pound)</t>
  </si>
  <si>
    <t>Cod.</t>
  </si>
  <si>
    <t>Area</t>
  </si>
  <si>
    <t>warehouse</t>
  </si>
  <si>
    <t>LCN'0001</t>
  </si>
  <si>
    <t>MDE-0004</t>
  </si>
  <si>
    <t>June</t>
  </si>
  <si>
    <t>China</t>
  </si>
  <si>
    <t>WAREHOUSE JACAGUA</t>
  </si>
  <si>
    <t>Packing Room</t>
  </si>
  <si>
    <t>Clasification Room</t>
  </si>
  <si>
    <t>LBN'0001</t>
  </si>
  <si>
    <t>MDE-0010</t>
  </si>
  <si>
    <t>Cutting Room</t>
  </si>
  <si>
    <t>LCR'0001</t>
  </si>
  <si>
    <t>MDE-0005</t>
  </si>
  <si>
    <t>LBR'0001</t>
  </si>
  <si>
    <t>MDE-0009</t>
  </si>
  <si>
    <t>LCS'0001</t>
  </si>
  <si>
    <t>MDE-0006</t>
  </si>
  <si>
    <t>LBS'0001</t>
  </si>
  <si>
    <t>MDE-0008</t>
  </si>
  <si>
    <t>LCH'0001</t>
  </si>
  <si>
    <t>MDE-0007</t>
  </si>
  <si>
    <t>LBH'0001</t>
  </si>
  <si>
    <t>MDE-0011</t>
  </si>
  <si>
    <t>LCN'1001</t>
  </si>
  <si>
    <t>MDE-0012</t>
  </si>
  <si>
    <t>LBB'0001</t>
  </si>
  <si>
    <t>MDE-0013</t>
  </si>
  <si>
    <t>LCW'0001</t>
  </si>
  <si>
    <t>MDE-0014</t>
  </si>
  <si>
    <t>LCB'0001</t>
  </si>
  <si>
    <t>MDE-0015</t>
  </si>
  <si>
    <t>LBR'1001</t>
  </si>
  <si>
    <t>MDE-0016</t>
  </si>
  <si>
    <t>LCR'1001</t>
  </si>
  <si>
    <t>MDE-0017</t>
  </si>
  <si>
    <t>LBI'1001</t>
  </si>
  <si>
    <t>MDE-0018</t>
  </si>
  <si>
    <t>Septiembre</t>
  </si>
  <si>
    <t>LCI'0001</t>
  </si>
  <si>
    <t>MDE-0019</t>
  </si>
  <si>
    <t>LCC'2000</t>
  </si>
  <si>
    <t>MDE-0020</t>
  </si>
  <si>
    <t>Octubre</t>
  </si>
  <si>
    <t>15/10/22</t>
  </si>
  <si>
    <t>LCS'2000</t>
  </si>
  <si>
    <t>MDE-0021</t>
  </si>
  <si>
    <t>LCL'2000</t>
  </si>
  <si>
    <t>MDE-0022</t>
  </si>
  <si>
    <t>LCH'2000</t>
  </si>
  <si>
    <t>MDE-0023</t>
  </si>
  <si>
    <t>LCB'2000</t>
  </si>
  <si>
    <t>MDE-0024</t>
  </si>
  <si>
    <t>Inventory Flavor- LooseLeaf La Cienaga</t>
  </si>
  <si>
    <t>Code</t>
  </si>
  <si>
    <t>Initial Inventory (Garrafones)</t>
  </si>
  <si>
    <t xml:space="preserve">Input </t>
  </si>
  <si>
    <t>Output</t>
  </si>
  <si>
    <t>Stock (qty)</t>
  </si>
  <si>
    <t>Qty Galones</t>
  </si>
  <si>
    <t>Reoder</t>
  </si>
  <si>
    <t>REORDEN</t>
  </si>
  <si>
    <t>Monitor</t>
  </si>
  <si>
    <t>In Transit (galones)</t>
  </si>
  <si>
    <t>In Production (galones)</t>
  </si>
  <si>
    <t>INDICADOR</t>
  </si>
  <si>
    <t>0001</t>
  </si>
  <si>
    <t>Flavor Menthol</t>
  </si>
  <si>
    <t>0002</t>
  </si>
  <si>
    <t>Flavor Honey 16xTAB</t>
  </si>
  <si>
    <t>0003</t>
  </si>
  <si>
    <t>Propylene Glycol</t>
  </si>
  <si>
    <t>0004</t>
  </si>
  <si>
    <t>Flavor Banana Dream</t>
  </si>
  <si>
    <t>0005</t>
  </si>
  <si>
    <t>Flavor Russiam Cream</t>
  </si>
  <si>
    <t>0006</t>
  </si>
  <si>
    <t>Flavor Honey Bourbon</t>
  </si>
  <si>
    <t>0007</t>
  </si>
  <si>
    <t>Flavor Run</t>
  </si>
  <si>
    <t>0008</t>
  </si>
  <si>
    <t>Flavor Vainilla</t>
  </si>
  <si>
    <t>0009</t>
  </si>
  <si>
    <t>Flavor Fresa / Strawberry</t>
  </si>
  <si>
    <t>QTY GARRAFON</t>
  </si>
  <si>
    <t>Comments</t>
  </si>
  <si>
    <t>Date</t>
  </si>
  <si>
    <t>NAME</t>
  </si>
  <si>
    <t>QTY</t>
  </si>
  <si>
    <t>LOOSELEAF- CLASIFICADO</t>
  </si>
  <si>
    <t>LOOSELEAF- LA CIENAGA</t>
  </si>
  <si>
    <t>REPORTE DE INVENTARIO - AREA DE SABORES</t>
  </si>
  <si>
    <t>RESUMEN DE DESPACHO 1RO DIC HASTA 6 DIC.</t>
  </si>
  <si>
    <t>Row Labels</t>
  </si>
  <si>
    <t>Sum of QTY</t>
  </si>
  <si>
    <t>Grand Total</t>
  </si>
  <si>
    <t>Flavor Russian Cream</t>
  </si>
  <si>
    <t>Flavor Rum</t>
  </si>
  <si>
    <t>CAJITAS DE EMPAQUE</t>
  </si>
  <si>
    <t>LIBRAS AQUÍ</t>
  </si>
  <si>
    <t>CONVERSION AQUÍ</t>
  </si>
  <si>
    <t>PESO UNITARIO</t>
  </si>
  <si>
    <t>BOLSAS DE EMPAQUE</t>
  </si>
  <si>
    <t>CAJITAS DE EMPAQUE MINI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</si>
</sst>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_);_(* \(#,##0\);_(* &quot;-&quot;??_);_(@_)"/>
    <numFmt numFmtId="165" formatCode="d/m/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CB7FF"/>
        <bgColor indexed="64"/>
      </patternFill>
    </fill>
  </fills>
  <borders count="1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rgb="FFFFFFFF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9">
    <xf numFmtId="0" fontId="0" fillId="0" borderId="0" xfId="0"/>
    <xf numFmtId="0" fontId="3" fillId="2" borderId="1" xfId="0" applyFont="1" applyFill="1" applyBorder="1"/>
    <xf numFmtId="0" fontId="3" fillId="2" borderId="3" xfId="0" applyFont="1" applyFill="1" applyBorder="1"/>
    <xf numFmtId="14" fontId="3" fillId="2" borderId="3" xfId="0" applyNumberFormat="1" applyFont="1" applyFill="1" applyBorder="1"/>
    <xf numFmtId="0" fontId="3" fillId="2" borderId="2" xfId="0" applyFont="1" applyFill="1" applyBorder="1"/>
    <xf numFmtId="0" fontId="3" fillId="2" borderId="5" xfId="0" applyFont="1" applyFill="1" applyBorder="1"/>
    <xf numFmtId="0" fontId="3" fillId="3" borderId="4" xfId="0" applyFont="1" applyFill="1" applyBorder="1"/>
    <xf numFmtId="43" fontId="3" fillId="2" borderId="1" xfId="1" applyFont="1" applyFill="1" applyBorder="1"/>
    <xf numFmtId="0" fontId="3" fillId="3" borderId="10" xfId="0" applyFont="1" applyFill="1" applyBorder="1"/>
    <xf numFmtId="0" fontId="3" fillId="3" borderId="11" xfId="0" applyFont="1" applyFill="1" applyBorder="1"/>
    <xf numFmtId="0" fontId="3" fillId="3" borderId="12" xfId="0" applyFont="1" applyFill="1" applyBorder="1"/>
    <xf numFmtId="43" fontId="3" fillId="2" borderId="3" xfId="1" applyFont="1" applyFill="1" applyBorder="1"/>
    <xf numFmtId="0" fontId="3" fillId="2" borderId="10" xfId="0" applyFont="1" applyFill="1" applyBorder="1"/>
    <xf numFmtId="0" fontId="3" fillId="2" borderId="13" xfId="0" applyFont="1" applyFill="1" applyBorder="1"/>
    <xf numFmtId="0" fontId="3" fillId="2" borderId="12" xfId="0" applyFont="1" applyFill="1" applyBorder="1"/>
    <xf numFmtId="0" fontId="3" fillId="2" borderId="8" xfId="0" applyFont="1" applyFill="1" applyBorder="1"/>
    <xf numFmtId="0" fontId="0" fillId="5" borderId="8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14" fontId="0" fillId="5" borderId="6" xfId="0" applyNumberForma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3" fillId="2" borderId="4" xfId="0" applyFont="1" applyFill="1" applyBorder="1"/>
    <xf numFmtId="165" fontId="3" fillId="2" borderId="3" xfId="0" applyNumberFormat="1" applyFont="1" applyFill="1" applyBorder="1"/>
    <xf numFmtId="165" fontId="3" fillId="2" borderId="6" xfId="0" applyNumberFormat="1" applyFont="1" applyFill="1" applyBorder="1"/>
    <xf numFmtId="0" fontId="13" fillId="6" borderId="14" xfId="0" applyFont="1" applyFill="1" applyBorder="1" applyAlignment="1">
      <alignment horizontal="center" vertical="center" wrapText="1"/>
    </xf>
    <xf numFmtId="43" fontId="0" fillId="0" borderId="0" xfId="1" applyFont="1" applyAlignment="1">
      <alignment horizontal="center" vertical="center" wrapText="1"/>
    </xf>
    <xf numFmtId="43" fontId="8" fillId="0" borderId="14" xfId="1" applyFont="1" applyBorder="1" applyAlignment="1">
      <alignment horizontal="center" vertical="center"/>
    </xf>
    <xf numFmtId="43" fontId="0" fillId="8" borderId="14" xfId="1" applyFont="1" applyFill="1" applyBorder="1" applyAlignment="1">
      <alignment horizontal="center" vertical="center" wrapText="1"/>
    </xf>
    <xf numFmtId="0" fontId="0" fillId="8" borderId="14" xfId="0" applyFill="1" applyBorder="1"/>
    <xf numFmtId="0" fontId="0" fillId="8" borderId="14" xfId="0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43" fontId="0" fillId="0" borderId="0" xfId="1" applyFont="1"/>
    <xf numFmtId="164" fontId="0" fillId="0" borderId="0" xfId="1" applyNumberFormat="1" applyFont="1"/>
    <xf numFmtId="14" fontId="3" fillId="2" borderId="1" xfId="1" applyNumberFormat="1" applyFont="1" applyFill="1" applyBorder="1"/>
    <xf numFmtId="0" fontId="14" fillId="10" borderId="3" xfId="0" applyFont="1" applyFill="1" applyBorder="1" applyAlignment="1">
      <alignment horizontal="center" vertical="center" wrapText="1"/>
    </xf>
    <xf numFmtId="0" fontId="0" fillId="10" borderId="7" xfId="0" applyFill="1" applyBorder="1" applyAlignment="1">
      <alignment horizontal="center" vertical="center" wrapText="1"/>
    </xf>
    <xf numFmtId="14" fontId="3" fillId="2" borderId="3" xfId="1" applyNumberFormat="1" applyFont="1" applyFill="1" applyBorder="1"/>
    <xf numFmtId="43" fontId="14" fillId="10" borderId="3" xfId="1" applyFont="1" applyFill="1" applyBorder="1" applyAlignment="1">
      <alignment horizontal="center" vertical="center" wrapText="1"/>
    </xf>
    <xf numFmtId="0" fontId="3" fillId="2" borderId="1" xfId="0" quotePrefix="1" applyFont="1" applyFill="1" applyBorder="1"/>
    <xf numFmtId="14" fontId="3" fillId="2" borderId="1" xfId="0" applyNumberFormat="1" applyFont="1" applyFill="1" applyBorder="1"/>
    <xf numFmtId="14" fontId="0" fillId="5" borderId="3" xfId="0" applyNumberFormat="1" applyFill="1" applyBorder="1" applyAlignment="1">
      <alignment horizontal="center" vertical="center" wrapText="1"/>
    </xf>
    <xf numFmtId="0" fontId="3" fillId="2" borderId="3" xfId="0" quotePrefix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3" fontId="0" fillId="0" borderId="0" xfId="0" applyNumberFormat="1"/>
    <xf numFmtId="0" fontId="10" fillId="12" borderId="0" xfId="0" applyFont="1" applyFill="1" applyAlignment="1">
      <alignment horizontal="center"/>
    </xf>
    <xf numFmtId="0" fontId="0" fillId="12" borderId="0" xfId="0" applyFill="1"/>
    <xf numFmtId="14" fontId="0" fillId="0" borderId="0" xfId="0" applyNumberFormat="1" applyAlignment="1">
      <alignment horizontal="left"/>
    </xf>
    <xf numFmtId="0" fontId="5" fillId="0" borderId="3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64" fontId="5" fillId="0" borderId="6" xfId="1" applyNumberFormat="1" applyFont="1" applyFill="1" applyBorder="1" applyAlignment="1">
      <alignment horizontal="center" vertical="center" wrapText="1"/>
    </xf>
    <xf numFmtId="43" fontId="5" fillId="0" borderId="6" xfId="1" applyFont="1" applyFill="1" applyBorder="1" applyAlignment="1">
      <alignment horizontal="center" vertical="center" wrapText="1"/>
    </xf>
    <xf numFmtId="0" fontId="17" fillId="0" borderId="15" xfId="0" quotePrefix="1" applyFont="1" applyBorder="1"/>
    <xf numFmtId="0" fontId="17" fillId="0" borderId="15" xfId="0" applyFont="1" applyBorder="1"/>
    <xf numFmtId="43" fontId="17" fillId="0" borderId="15" xfId="1" applyFont="1" applyFill="1" applyBorder="1"/>
    <xf numFmtId="164" fontId="17" fillId="0" borderId="15" xfId="1" applyNumberFormat="1" applyFont="1" applyFill="1" applyBorder="1"/>
    <xf numFmtId="2" fontId="17" fillId="0" borderId="15" xfId="1" applyNumberFormat="1" applyFont="1" applyFill="1" applyBorder="1"/>
    <xf numFmtId="43" fontId="11" fillId="14" borderId="15" xfId="1" applyFont="1" applyFill="1" applyBorder="1"/>
    <xf numFmtId="164" fontId="0" fillId="0" borderId="0" xfId="1" applyNumberFormat="1" applyFont="1" applyFill="1"/>
    <xf numFmtId="43" fontId="11" fillId="14" borderId="16" xfId="1" applyFont="1" applyFill="1" applyBorder="1"/>
    <xf numFmtId="43" fontId="10" fillId="0" borderId="0" xfId="1" applyFont="1" applyFill="1" applyBorder="1"/>
    <xf numFmtId="164" fontId="17" fillId="0" borderId="17" xfId="1" applyNumberFormat="1" applyFont="1" applyFill="1" applyBorder="1"/>
    <xf numFmtId="2" fontId="17" fillId="0" borderId="18" xfId="1" applyNumberFormat="1" applyFont="1" applyFill="1" applyBorder="1"/>
    <xf numFmtId="43" fontId="11" fillId="14" borderId="14" xfId="1" applyFont="1" applyFill="1" applyBorder="1"/>
    <xf numFmtId="0" fontId="6" fillId="4" borderId="0" xfId="0" applyFont="1" applyFill="1" applyAlignment="1">
      <alignment horizontal="center"/>
    </xf>
    <xf numFmtId="0" fontId="9" fillId="4" borderId="0" xfId="0" applyFont="1" applyFill="1" applyAlignment="1">
      <alignment horizontal="left" vertical="center"/>
    </xf>
    <xf numFmtId="0" fontId="8" fillId="4" borderId="0" xfId="0" applyFont="1" applyFill="1" applyAlignment="1">
      <alignment horizontal="center"/>
    </xf>
    <xf numFmtId="0" fontId="15" fillId="11" borderId="0" xfId="0" applyFont="1" applyFill="1" applyAlignment="1">
      <alignment horizontal="center"/>
    </xf>
    <xf numFmtId="0" fontId="16" fillId="1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1" fillId="7" borderId="14" xfId="0" applyFont="1" applyFill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7" borderId="0" xfId="0" applyFont="1" applyFill="1" applyAlignment="1">
      <alignment horizontal="center"/>
    </xf>
    <xf numFmtId="0" fontId="0" fillId="0" borderId="14" xfId="0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83"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2" formatCode="0.00"/>
      <fill>
        <patternFill patternType="none">
          <fgColor rgb="FF00000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solid">
          <fgColor indexed="64"/>
          <bgColor rgb="FF9CB7FF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rgb="FF00000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FFFFFF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border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2" formatCode="0.00"/>
      <fill>
        <patternFill patternType="none">
          <fgColor rgb="FF00000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solid">
          <fgColor indexed="64"/>
          <bgColor rgb="FF9CB7FF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rgb="FF00000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FFFFFF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rgb="FF000000"/>
          <bgColor rgb="FFFFF2CC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rgb="FF000000"/>
          <bgColor rgb="FFFFF2CC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left style="thin">
          <color theme="0"/>
        </left>
        <bottom style="thin">
          <color theme="0"/>
        </bottom>
      </border>
    </dxf>
    <dxf>
      <fill>
        <patternFill patternType="solid">
          <fgColor indexed="64"/>
          <bgColor theme="4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rgb="FF000000"/>
          <bgColor rgb="FFFFF2CC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rgb="FF000000"/>
          <bgColor rgb="FFFFF2CC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left style="thin">
          <color theme="0"/>
        </left>
        <bottom style="thin">
          <color theme="0"/>
        </bottom>
      </border>
    </dxf>
    <dxf>
      <fill>
        <patternFill patternType="solid">
          <fgColor indexed="64"/>
          <bgColor theme="4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d/m/yyyy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rgb="FF000000"/>
          <bgColor rgb="FFFFF2CC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left style="thin">
          <color theme="0"/>
        </left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5" formatCode="_(* #,##0.00_);_(* \(#,##0.00\);_(* &quot;-&quot;??_);_(@_)"/>
    </dxf>
  </dxfs>
  <tableStyles count="1" defaultTableStyle="TableStyleMedium2" defaultPivotStyle="PivotStyleLight16">
    <tableStyle name="Tipo Inventario" pivot="0" count="0" xr9:uid="{3A053026-3E22-470E-8452-279A54269239}"/>
  </tableStyles>
  <colors>
    <mruColors>
      <color rgb="FF9CB7F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19051</xdr:rowOff>
    </xdr:from>
    <xdr:to>
      <xdr:col>22</xdr:col>
      <xdr:colOff>0</xdr:colOff>
      <xdr:row>3</xdr:row>
      <xdr:rowOff>95251</xdr:rowOff>
    </xdr:to>
    <xdr:sp macro="" textlink="">
      <xdr:nvSpPr>
        <xdr:cNvPr id="2" name="Rectángulo: una sola esquina redondeada 1">
          <a:extLst>
            <a:ext uri="{FF2B5EF4-FFF2-40B4-BE49-F238E27FC236}">
              <a16:creationId xmlns:a16="http://schemas.microsoft.com/office/drawing/2014/main" id="{DF740921-1095-8714-DD18-A666BBB0D512}"/>
            </a:ext>
          </a:extLst>
        </xdr:cNvPr>
        <xdr:cNvSpPr/>
      </xdr:nvSpPr>
      <xdr:spPr>
        <a:xfrm>
          <a:off x="1" y="590551"/>
          <a:ext cx="20688299" cy="76200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26377</xdr:rowOff>
    </xdr:from>
    <xdr:to>
      <xdr:col>5</xdr:col>
      <xdr:colOff>0</xdr:colOff>
      <xdr:row>3</xdr:row>
      <xdr:rowOff>112102</xdr:rowOff>
    </xdr:to>
    <xdr:sp macro="" textlink="">
      <xdr:nvSpPr>
        <xdr:cNvPr id="2" name="Rectángulo: una sola esquina redondeada 1">
          <a:extLst>
            <a:ext uri="{FF2B5EF4-FFF2-40B4-BE49-F238E27FC236}">
              <a16:creationId xmlns:a16="http://schemas.microsoft.com/office/drawing/2014/main" id="{F26F84E4-A47F-4334-BEA0-25904A7181E2}"/>
            </a:ext>
          </a:extLst>
        </xdr:cNvPr>
        <xdr:cNvSpPr/>
      </xdr:nvSpPr>
      <xdr:spPr>
        <a:xfrm>
          <a:off x="1" y="597877"/>
          <a:ext cx="7153274" cy="85725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26377</xdr:rowOff>
    </xdr:from>
    <xdr:to>
      <xdr:col>5</xdr:col>
      <xdr:colOff>0</xdr:colOff>
      <xdr:row>3</xdr:row>
      <xdr:rowOff>112102</xdr:rowOff>
    </xdr:to>
    <xdr:sp macro="" textlink="">
      <xdr:nvSpPr>
        <xdr:cNvPr id="2" name="Rectángulo: una sola esquina redondeada 1">
          <a:extLst>
            <a:ext uri="{FF2B5EF4-FFF2-40B4-BE49-F238E27FC236}">
              <a16:creationId xmlns:a16="http://schemas.microsoft.com/office/drawing/2014/main" id="{673449D5-E28F-4CBE-A00C-5EAD43E78A2C}"/>
            </a:ext>
          </a:extLst>
        </xdr:cNvPr>
        <xdr:cNvSpPr/>
      </xdr:nvSpPr>
      <xdr:spPr>
        <a:xfrm>
          <a:off x="1" y="597877"/>
          <a:ext cx="7953374" cy="85725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182879</xdr:rowOff>
    </xdr:from>
    <xdr:to>
      <xdr:col>10</xdr:col>
      <xdr:colOff>7620</xdr:colOff>
      <xdr:row>43</xdr:row>
      <xdr:rowOff>96236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B34E7C4-6E70-9EC6-C427-D73138203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31719"/>
          <a:ext cx="7353300" cy="5765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ola Luciano" refreshedDate="44904.719880439814" createdVersion="8" refreshedVersion="8" minRefreshableVersion="3" recordCount="919" xr:uid="{A7E43D8C-D2CD-4C61-BEBC-9811F657F985}">
  <cacheSource type="worksheet">
    <worksheetSource name="Tabla3568"/>
  </cacheSource>
  <cacheFields count="5">
    <cacheField name="Code" numFmtId="0">
      <sharedItems containsBlank="1"/>
    </cacheField>
    <cacheField name="NAME" numFmtId="0">
      <sharedItems count="6">
        <s v="Propylene Glycol"/>
        <s v="Flavor Russiam Cream"/>
        <s v="Flavor Banana Dream"/>
        <s v="Flavor Honey 16xTAB"/>
        <s v="Flavor Vainilla"/>
        <e v="#N/A"/>
      </sharedItems>
    </cacheField>
    <cacheField name="QTY" numFmtId="0">
      <sharedItems containsString="0" containsBlank="1" containsNumber="1" containsInteger="1" minValue="1" maxValue="2"/>
    </cacheField>
    <cacheField name="Comments" numFmtId="0">
      <sharedItems containsBlank="1" count="3">
        <s v="LOOSELEAF- CLASIFICADO"/>
        <s v="LOOSELEAF- LA CIENAGA"/>
        <m/>
      </sharedItems>
    </cacheField>
    <cacheField name="Date" numFmtId="0">
      <sharedItems containsNonDate="0" containsDate="1" containsString="0" containsBlank="1" minDate="2022-11-24T00:00:00" maxDate="2022-12-06T00:00:00" count="4">
        <d v="2022-11-24T00:00:00"/>
        <d v="2022-11-25T00:00:00"/>
        <d v="2022-12-05T00:00: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9">
  <r>
    <s v="0003"/>
    <x v="0"/>
    <n v="1"/>
    <x v="0"/>
    <x v="0"/>
  </r>
  <r>
    <s v="0003"/>
    <x v="0"/>
    <n v="1"/>
    <x v="1"/>
    <x v="0"/>
  </r>
  <r>
    <s v="0005"/>
    <x v="1"/>
    <n v="1"/>
    <x v="1"/>
    <x v="0"/>
  </r>
  <r>
    <s v="0004"/>
    <x v="2"/>
    <n v="1"/>
    <x v="1"/>
    <x v="1"/>
  </r>
  <r>
    <s v="0002"/>
    <x v="3"/>
    <n v="1"/>
    <x v="1"/>
    <x v="1"/>
  </r>
  <r>
    <s v="0008"/>
    <x v="4"/>
    <n v="2"/>
    <x v="1"/>
    <x v="2"/>
  </r>
  <r>
    <s v="0003"/>
    <x v="0"/>
    <n v="1"/>
    <x v="1"/>
    <x v="2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  <r>
    <m/>
    <x v="5"/>
    <m/>
    <x v="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7DE2F9-06FC-4F50-9711-4DCB1DF0EB72}" name="PivotTable2" cacheId="520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7:B11" firstHeaderRow="1" firstDataRow="1" firstDataCol="1" rowPageCount="1" colPageCount="1"/>
  <pivotFields count="5">
    <pivotField showAll="0"/>
    <pivotField axis="axisRow" showAll="0">
      <items count="7">
        <item x="2"/>
        <item x="3"/>
        <item x="1"/>
        <item x="4"/>
        <item x="0"/>
        <item x="5"/>
        <item t="default"/>
      </items>
    </pivotField>
    <pivotField dataField="1" showAll="0"/>
    <pivotField axis="axisRow" showAll="0">
      <items count="4">
        <item x="0"/>
        <item x="1"/>
        <item x="2"/>
        <item t="default"/>
      </items>
    </pivotField>
    <pivotField axis="axisPage" multipleItemSelectionAllowed="1" showAll="0">
      <items count="5">
        <item h="1" x="0"/>
        <item h="1" x="1"/>
        <item x="2"/>
        <item h="1" x="3"/>
        <item t="default"/>
      </items>
    </pivotField>
  </pivotFields>
  <rowFields count="2">
    <field x="3"/>
    <field x="1"/>
  </rowFields>
  <rowItems count="4">
    <i>
      <x v="1"/>
    </i>
    <i r="1">
      <x v="3"/>
    </i>
    <i r="1">
      <x v="4"/>
    </i>
    <i t="grand">
      <x/>
    </i>
  </rowItems>
  <colItems count="1">
    <i/>
  </colItems>
  <pageFields count="1">
    <pageField fld="4" hier="-1"/>
  </pageFields>
  <dataFields count="1">
    <dataField name="Sum of QTY" fld="2" baseField="0" baseItem="0" numFmtId="43"/>
  </dataFields>
  <formats count="1">
    <format dxfId="8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7B3F7B9-2FAB-42CC-A3EB-779FC6362BF6}" name="Tabla6" displayName="Tabla6" ref="A5:P26" totalsRowShown="0" headerRowDxfId="77" dataDxfId="76" tableBorderDxfId="75">
  <autoFilter ref="A5:P26" xr:uid="{67B3F7B9-2FAB-42CC-A3EB-779FC6362BF6}"/>
  <tableColumns count="16">
    <tableColumn id="1" xr3:uid="{A25B8AC5-C8FE-499C-95F0-1B3C3DB8A72B}" name="lote" dataDxfId="74"/>
    <tableColumn id="2" xr3:uid="{F3066FEA-39A3-4DEA-B958-2908CB2795A4}" name="codigo" dataDxfId="73"/>
    <tableColumn id="6" xr3:uid="{ED44D478-88F4-4604-8096-5EFF875A0513}" name="Name" dataDxfId="72">
      <calculatedColumnFormula>+VLOOKUP(Tabla6[[#This Row],[codigo]],Tabla35[#All],2,0)</calculatedColumnFormula>
    </tableColumn>
    <tableColumn id="3" xr3:uid="{CB489EDB-E8CF-480B-9444-8F531BD46232}" name="Quantity (Box)" dataDxfId="71"/>
    <tableColumn id="11" xr3:uid="{F280E995-7E5F-4E7E-BE82-87F84AE21770}" name="Quantity (Units Per Box)" dataDxfId="70"/>
    <tableColumn id="4" xr3:uid="{DA006977-4855-4E61-9490-0E1B38C2F116}" name="Month" dataDxfId="69"/>
    <tableColumn id="5" xr3:uid="{77F10576-0CD3-4CED-BDC4-F159D398AFFB}" name="Year" dataDxfId="68"/>
    <tableColumn id="7" xr3:uid="{CB7BFA7D-F8BE-4301-AA9C-C80FA6CFC487}" name="Supplier Name" dataDxfId="67"/>
    <tableColumn id="10" xr3:uid="{14C9CF65-B264-462D-8CC7-8A86F93C7188}" name="Registration Date" dataDxfId="66"/>
    <tableColumn id="16" xr3:uid="{49B63F43-99B3-4D2F-8289-7BE4463C22AE}" name="Location" dataDxfId="65"/>
    <tableColumn id="17" xr3:uid="{5194A296-E99F-4F39-B3AF-55A6F6198731}" name="Area of ​​use" dataDxfId="64"/>
    <tableColumn id="18" xr3:uid="{A0E23B79-9977-4248-8C53-F81B100AD678}" name="_x000a_Reception date" dataDxfId="63"/>
    <tableColumn id="19" xr3:uid="{EE37AC85-BEB1-48E3-95E8-2350DB54EAD0}" name="Address Supplier" dataDxfId="62"/>
    <tableColumn id="20" xr3:uid="{4949BFE4-DAA1-45D2-B2F8-CE006B75C1DE}" name="RNC" dataDxfId="61"/>
    <tableColumn id="21" xr3:uid="{6D42BC77-8F4C-4DE0-ABE9-904C99F50B77}" name="Phone Contac" dataDxfId="60"/>
    <tableColumn id="8" xr3:uid="{8FBEEEDB-F2AA-4170-9A47-FDF260520EE3}" name="Weight per BOX (Pound)" dataDxfId="5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9CE765-F4DD-4993-AEA3-9F9A22B8E2EF}" name="Tabla13" displayName="Tabla13" ref="R5:S8" totalsRowShown="0" headerRowDxfId="58" tableBorderDxfId="57">
  <autoFilter ref="R5:S8" xr:uid="{C89CE765-F4DD-4993-AEA3-9F9A22B8E2EF}"/>
  <tableColumns count="2">
    <tableColumn id="1" xr3:uid="{8A25EDE0-30F7-4A4C-8BB7-09ED92A80CC4}" name="Cod." dataDxfId="56"/>
    <tableColumn id="2" xr3:uid="{CB54ACF7-06FB-4BE1-A77F-0F60971F5434}" name="Area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121769-B820-451A-9699-363F949D7FE2}" name="Tabla132" displayName="Tabla132" ref="U5:V7" totalsRowShown="0" headerRowDxfId="54" tableBorderDxfId="53">
  <autoFilter ref="U5:V7" xr:uid="{96121769-B820-451A-9699-363F949D7FE2}"/>
  <tableColumns count="2">
    <tableColumn id="1" xr3:uid="{A2AD0DCC-D7F5-42D9-844D-05F9E9E09694}" name="Cod." dataDxfId="52"/>
    <tableColumn id="2" xr3:uid="{FB795105-754F-4D5A-B6B6-2D2174409876}" name="warehouse" dataDxfId="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FAA13E-318B-4FEC-A78D-4C6415EA2535}" name="Tabla35" displayName="Tabla35" ref="A2:M11" totalsRowShown="0" headerRowDxfId="46" dataDxfId="45" headerRowBorderDxfId="44">
  <autoFilter ref="A2:M11" xr:uid="{03844E4C-B829-4713-A43D-08A694E5D5CC}"/>
  <tableColumns count="13">
    <tableColumn id="1" xr3:uid="{7FFB43C5-4523-4908-8DBC-CBABAF6FA70C}" name="Code" dataDxfId="43"/>
    <tableColumn id="3" xr3:uid="{00A7C1A4-7141-4059-8272-EC322294AAC0}" name="Name" dataDxfId="42"/>
    <tableColumn id="4" xr3:uid="{A024CFC9-1E75-4F43-B481-DA03CA5D9DA8}" name="Initial Inventory (Garrafones)" dataDxfId="41"/>
    <tableColumn id="8" xr3:uid="{052D0727-BC7C-423E-B822-390DBDE2C70F}" name="Input " dataDxfId="40">
      <calculatedColumnFormula>+SUMIF(Tabla356[Code],Tabla35[[#This Row],[Code]],Tabla356[QTY GARRAFON])</calculatedColumnFormula>
    </tableColumn>
    <tableColumn id="10" xr3:uid="{9F01B0DD-3A62-4A41-8A37-DF6A6D2A38B6}" name="Output" dataDxfId="39">
      <calculatedColumnFormula>+SUMIF(Tabla3568[Code],Tabla35[[#This Row],[Code]],Tabla3568[QTY])</calculatedColumnFormula>
    </tableColumn>
    <tableColumn id="11" xr3:uid="{3EE5D398-D69D-4AF0-818D-4F49CFB083D8}" name="Stock (qty)" dataDxfId="38">
      <calculatedColumnFormula>+(Tabla35[[#This Row],[Initial Inventory (Garrafones)]]+Tabla35[[#This Row],[Input ]])-Tabla35[[#This Row],[Output]]</calculatedColumnFormula>
    </tableColumn>
    <tableColumn id="12" xr3:uid="{4815BC39-D085-47D0-8ABF-BD8927773584}" name="Qty Galones" dataDxfId="37" dataCellStyle="Comma">
      <calculatedColumnFormula>+Tabla35[[#This Row],[Stock (qty)]]*5</calculatedColumnFormula>
    </tableColumn>
    <tableColumn id="6" xr3:uid="{9EC50137-98E8-42F5-9486-19CFA92FC70D}" name="Reoder" dataDxfId="36" dataCellStyle="Comma"/>
    <tableColumn id="2" xr3:uid="{5E3BD348-8D0D-4C98-A6E5-0C152E831CAC}" name="REORDEN" dataDxfId="35" dataCellStyle="Comma"/>
    <tableColumn id="14" xr3:uid="{857F4EFE-856A-4EE8-8B18-CB0439EEB14F}" name="Monitor" dataDxfId="34" dataCellStyle="Comma"/>
    <tableColumn id="9" xr3:uid="{791E60DC-36B7-400E-85BB-031346575D2B}" name="In Transit (galones)" dataDxfId="33" dataCellStyle="Comma"/>
    <tableColumn id="7" xr3:uid="{CE7E39F8-32D4-4252-83FD-AB0B685A874A}" name="In Production (galones)" dataDxfId="32" dataCellStyle="Comma"/>
    <tableColumn id="5" xr3:uid="{128F4DBC-9AEC-409A-BB9E-EDE3722D6477}" name="INDICADOR" dataDxfId="31">
      <calculatedColumnFormula>+IF(Tabla35[[#This Row],[Qty Galones]]&gt;Tabla35[[#This Row],[Reoder]],"ESTABLE","ORDENAR")</calculatedColumnFormula>
    </tableColumn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F1D0D6-0F43-4F88-8BA9-34F68E0B6DC0}" name="Tabla356" displayName="Tabla356" ref="A6:E8" totalsRowShown="0" headerRowDxfId="30" dataDxfId="29" headerRowBorderDxfId="28">
  <tableColumns count="5">
    <tableColumn id="15" xr3:uid="{DE50041B-D1DE-4066-84E9-BEFE96C936D2}" name="Code" dataDxfId="27">
      <calculatedColumnFormula>+VLOOKUP(#REF!,Tabla6[#All],2,0)</calculatedColumnFormula>
    </tableColumn>
    <tableColumn id="3" xr3:uid="{E250FCA5-F11C-4A0F-985F-CF658DEA6F37}" name="Name" dataDxfId="26">
      <calculatedColumnFormula>+VLOOKUP(Tabla356[[#This Row],[Code]],Tabla35[#All],2,0)</calculatedColumnFormula>
    </tableColumn>
    <tableColumn id="5" xr3:uid="{7FC13674-BF6D-490D-B788-D8C1794B904B}" name="QTY GARRAFON" dataDxfId="25" dataCellStyle="Comma"/>
    <tableColumn id="11" xr3:uid="{072DE775-98FE-4C23-8BA4-DB3534CFF830}" name="Comments" dataDxfId="24" dataCellStyle="Comma"/>
    <tableColumn id="16" xr3:uid="{7B88F544-2152-45FD-87C3-840CC334427D}" name="Date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B05EE03-83BD-4964-B9E9-E8B365B0AA6C}" name="Tabla3568" displayName="Tabla3568" ref="A6:E925" totalsRowShown="0" headerRowBorderDxfId="22">
  <autoFilter ref="A6:E925" xr:uid="{2B05EE03-83BD-4964-B9E9-E8B365B0AA6C}"/>
  <tableColumns count="5">
    <tableColumn id="15" xr3:uid="{6FFD654D-EEC4-44F0-97B2-CA732E903B71}" name="Code" dataDxfId="21"/>
    <tableColumn id="3" xr3:uid="{9B2D7F2D-B9F2-4514-9FA7-737F5BF750DD}" name="NAME" dataDxfId="20">
      <calculatedColumnFormula>+VLOOKUP(Tabla3568[[#This Row],[Code]],Tabla35[#All],2,0)</calculatedColumnFormula>
    </tableColumn>
    <tableColumn id="5" xr3:uid="{71552282-3655-4439-B2DF-A3F54D5C94A3}" name="QTY"/>
    <tableColumn id="11" xr3:uid="{712CBD78-8399-4272-825D-06C623060A22}" name="Comments"/>
    <tableColumn id="16" xr3:uid="{1AF1EDAB-857E-4895-A792-84415EA7D02C}" name="Da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1A8D4D-C979-9148-8260-CE3F195F627D}" name="Tabla354" displayName="Tabla354" ref="A2:M11" totalsRowShown="0" headerRowDxfId="15" dataDxfId="14" headerRowBorderDxfId="13">
  <autoFilter ref="A2:M11" xr:uid="{03844E4C-B829-4713-A43D-08A694E5D5CC}"/>
  <tableColumns count="13">
    <tableColumn id="1" xr3:uid="{FCE9658D-0379-0841-845D-511A10141980}" name="Code" dataDxfId="12"/>
    <tableColumn id="3" xr3:uid="{485DECC8-4DEB-794E-A169-41103AF4CB77}" name="Name" dataDxfId="11"/>
    <tableColumn id="4" xr3:uid="{53A9708A-7B8A-5E4E-94D4-7A984D907877}" name="Initial Inventory (Garrafones)" dataDxfId="10"/>
    <tableColumn id="8" xr3:uid="{90F91156-B463-5C42-9B6E-6AB9910A358E}" name="Input " dataDxfId="9">
      <calculatedColumnFormula>+SUMIF(Tabla356[Code],Tabla354[[#This Row],[Code]],Tabla356[QTY GARRAFON])</calculatedColumnFormula>
    </tableColumn>
    <tableColumn id="10" xr3:uid="{C8807932-C597-ED49-9F30-8DD9B732B05A}" name="Output" dataDxfId="8">
      <calculatedColumnFormula>+SUMIF(Tabla3568[Code],Tabla354[[#This Row],[Code]],Tabla3568[QTY])</calculatedColumnFormula>
    </tableColumn>
    <tableColumn id="11" xr3:uid="{1F3D8223-36BD-6D47-A9FF-6BB270216C3A}" name="Stock (qty)" dataDxfId="7">
      <calculatedColumnFormula>+(Tabla354[[#This Row],[Initial Inventory (Garrafones)]]+Tabla354[[#This Row],[Input ]])-Tabla354[[#This Row],[Output]]</calculatedColumnFormula>
    </tableColumn>
    <tableColumn id="12" xr3:uid="{3E0CCAAB-9260-434B-BDD8-4ED02616B3CB}" name="Qty Galones" dataDxfId="6" dataCellStyle="Comma">
      <calculatedColumnFormula>+Tabla354[[#This Row],[Stock (qty)]]*5</calculatedColumnFormula>
    </tableColumn>
    <tableColumn id="6" xr3:uid="{A8ADA18D-32B8-BA4F-B9CC-94EB35BD03FE}" name="Reoder" dataDxfId="5" dataCellStyle="Comma"/>
    <tableColumn id="2" xr3:uid="{EF2AD625-5431-0844-80EA-3454E64B1106}" name="REORDEN" dataDxfId="4" dataCellStyle="Comma"/>
    <tableColumn id="14" xr3:uid="{A4BCDFA4-6955-9E49-B615-365C440A097A}" name="Monitor" dataDxfId="3" dataCellStyle="Comma"/>
    <tableColumn id="9" xr3:uid="{F6D45BD9-3052-9A42-9DFF-CB75EA96915E}" name="In Transit (galones)" dataDxfId="2" dataCellStyle="Comma"/>
    <tableColumn id="7" xr3:uid="{95E1D4A7-8436-A746-B94D-C5F8AEAE0EF8}" name="In Production (galones)" dataDxfId="1" dataCellStyle="Comma"/>
    <tableColumn id="5" xr3:uid="{0D163899-D1DF-514F-989F-9DD101B49E9D}" name="INDICADOR" dataDxfId="0">
      <calculatedColumnFormula>+IF(Tabla354[[#This Row],[Qty Galones]]&gt;Tabla354[[#This Row],[Reoder]],"ESTABLE","ORDENAR")</calculatedColumnFormula>
    </tableColumn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10584-CD2E-450D-AF1E-3A7D2B7585DA}">
  <sheetPr codeName="Hoja1">
    <tabColor theme="2" tint="-0.89999084444715716"/>
  </sheetPr>
  <dimension ref="A1:V26"/>
  <sheetViews>
    <sheetView topLeftCell="A14" workbookViewId="0">
      <selection activeCell="B24" sqref="B24"/>
    </sheetView>
  </sheetViews>
  <sheetFormatPr defaultColWidth="11.42578125" defaultRowHeight="14.45"/>
  <cols>
    <col min="1" max="1" width="13.42578125" customWidth="1"/>
    <col min="2" max="2" width="16.42578125" customWidth="1"/>
    <col min="3" max="3" width="53.85546875" bestFit="1" customWidth="1"/>
    <col min="4" max="5" width="13" customWidth="1"/>
    <col min="6" max="6" width="15.140625" customWidth="1"/>
    <col min="7" max="7" width="19.85546875" customWidth="1"/>
    <col min="8" max="8" width="27.85546875" bestFit="1" customWidth="1"/>
    <col min="9" max="9" width="16.140625" bestFit="1" customWidth="1"/>
    <col min="10" max="10" width="27.140625" bestFit="1" customWidth="1"/>
    <col min="11" max="11" width="22.85546875" customWidth="1"/>
    <col min="13" max="13" width="24.42578125" bestFit="1" customWidth="1"/>
    <col min="14" max="14" width="14.140625" bestFit="1" customWidth="1"/>
    <col min="19" max="19" width="21.85546875" bestFit="1" customWidth="1"/>
    <col min="22" max="22" width="27.140625" bestFit="1" customWidth="1"/>
  </cols>
  <sheetData>
    <row r="1" spans="1:22" ht="15" customHeight="1">
      <c r="A1" s="68" t="s">
        <v>0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</row>
    <row r="2" spans="1:22" ht="15" customHeight="1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</row>
    <row r="3" spans="1:22" ht="15" customHeight="1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</row>
    <row r="5" spans="1:22" ht="43.5">
      <c r="A5" s="16" t="s">
        <v>1</v>
      </c>
      <c r="B5" s="17" t="s">
        <v>2</v>
      </c>
      <c r="C5" s="17" t="s">
        <v>3</v>
      </c>
      <c r="D5" s="17" t="s">
        <v>4</v>
      </c>
      <c r="E5" s="17" t="s">
        <v>5</v>
      </c>
      <c r="F5" s="17" t="s">
        <v>6</v>
      </c>
      <c r="G5" s="18" t="s">
        <v>7</v>
      </c>
      <c r="H5" s="19" t="s">
        <v>8</v>
      </c>
      <c r="I5" s="20" t="s">
        <v>9</v>
      </c>
      <c r="J5" s="19" t="s">
        <v>10</v>
      </c>
      <c r="K5" s="19" t="s">
        <v>11</v>
      </c>
      <c r="L5" s="21" t="s">
        <v>12</v>
      </c>
      <c r="M5" s="19" t="s">
        <v>13</v>
      </c>
      <c r="N5" s="19" t="s">
        <v>14</v>
      </c>
      <c r="O5" s="19" t="s">
        <v>15</v>
      </c>
      <c r="P5" s="19" t="s">
        <v>16</v>
      </c>
      <c r="R5" s="22" t="s">
        <v>17</v>
      </c>
      <c r="S5" s="19" t="s">
        <v>18</v>
      </c>
      <c r="U5" s="22" t="s">
        <v>17</v>
      </c>
      <c r="V5" s="19" t="s">
        <v>19</v>
      </c>
    </row>
    <row r="6" spans="1:22" ht="30" customHeight="1">
      <c r="A6" s="5" t="s">
        <v>20</v>
      </c>
      <c r="B6" s="1" t="s">
        <v>21</v>
      </c>
      <c r="C6" s="1" t="e">
        <f>+VLOOKUP(Tabla6[[#This Row],[codigo]],Tabla35[#All],2,0)</f>
        <v>#N/A</v>
      </c>
      <c r="D6" s="7">
        <v>63</v>
      </c>
      <c r="E6" s="7">
        <v>1500</v>
      </c>
      <c r="F6" s="1" t="s">
        <v>22</v>
      </c>
      <c r="G6" s="6">
        <v>2022</v>
      </c>
      <c r="H6" s="1" t="s">
        <v>23</v>
      </c>
      <c r="I6" s="3">
        <v>44729</v>
      </c>
      <c r="J6" s="13" t="s">
        <v>24</v>
      </c>
      <c r="K6" s="13" t="s">
        <v>25</v>
      </c>
      <c r="L6" s="13"/>
      <c r="M6" s="4"/>
      <c r="N6" s="14"/>
      <c r="O6" s="13"/>
      <c r="P6" s="7">
        <f>+Tabla6[[#This Row],[Quantity (Box)]]</f>
        <v>63</v>
      </c>
      <c r="R6" s="8">
        <v>1</v>
      </c>
      <c r="S6" s="6" t="s">
        <v>26</v>
      </c>
      <c r="U6" s="8">
        <v>1</v>
      </c>
      <c r="V6" s="6" t="s">
        <v>24</v>
      </c>
    </row>
    <row r="7" spans="1:22" ht="30" customHeight="1">
      <c r="A7" s="5" t="s">
        <v>27</v>
      </c>
      <c r="B7" s="1" t="s">
        <v>28</v>
      </c>
      <c r="C7" s="1" t="e">
        <f>+VLOOKUP(Tabla6[[#This Row],[codigo]],Tabla35[#All],2,0)</f>
        <v>#N/A</v>
      </c>
      <c r="D7" s="7">
        <v>39</v>
      </c>
      <c r="E7" s="7">
        <v>4000</v>
      </c>
      <c r="F7" s="1" t="s">
        <v>22</v>
      </c>
      <c r="G7" s="6">
        <v>2022</v>
      </c>
      <c r="H7" s="1" t="s">
        <v>23</v>
      </c>
      <c r="I7" s="3">
        <v>44729</v>
      </c>
      <c r="J7" s="13" t="s">
        <v>24</v>
      </c>
      <c r="K7" s="13" t="s">
        <v>25</v>
      </c>
      <c r="L7" s="12"/>
      <c r="M7" s="4"/>
      <c r="N7" s="14"/>
      <c r="O7" s="12"/>
      <c r="P7" s="7">
        <f>+Tabla6[[#This Row],[Quantity (Box)]]</f>
        <v>39</v>
      </c>
      <c r="R7" s="8">
        <v>2</v>
      </c>
      <c r="S7" s="6" t="s">
        <v>29</v>
      </c>
      <c r="U7" s="8">
        <v>2</v>
      </c>
      <c r="V7" s="6" t="s">
        <v>24</v>
      </c>
    </row>
    <row r="8" spans="1:22" ht="30" customHeight="1">
      <c r="A8" s="5" t="s">
        <v>30</v>
      </c>
      <c r="B8" s="2" t="s">
        <v>31</v>
      </c>
      <c r="C8" s="2" t="e">
        <f>+VLOOKUP(Tabla6[[#This Row],[codigo]],Tabla35[#All],2,0)</f>
        <v>#N/A</v>
      </c>
      <c r="D8" s="7">
        <v>63</v>
      </c>
      <c r="E8" s="7">
        <v>1500</v>
      </c>
      <c r="F8" s="1" t="s">
        <v>22</v>
      </c>
      <c r="G8" s="6">
        <v>2022</v>
      </c>
      <c r="H8" s="1" t="s">
        <v>23</v>
      </c>
      <c r="I8" s="3">
        <v>44729</v>
      </c>
      <c r="J8" s="13" t="s">
        <v>24</v>
      </c>
      <c r="K8" s="13" t="s">
        <v>25</v>
      </c>
      <c r="L8" s="12"/>
      <c r="M8" s="4"/>
      <c r="N8" s="14"/>
      <c r="O8" s="12"/>
      <c r="P8" s="7">
        <f>+Tabla6[[#This Row],[Quantity (Box)]]</f>
        <v>63</v>
      </c>
      <c r="R8" s="9">
        <v>3</v>
      </c>
      <c r="S8" s="10" t="s">
        <v>25</v>
      </c>
    </row>
    <row r="9" spans="1:22" ht="30" customHeight="1">
      <c r="A9" s="5" t="s">
        <v>32</v>
      </c>
      <c r="B9" s="1" t="s">
        <v>33</v>
      </c>
      <c r="C9" s="1" t="e">
        <f>+VLOOKUP(Tabla6[[#This Row],[codigo]],Tabla35[#All],2,0)</f>
        <v>#N/A</v>
      </c>
      <c r="D9" s="7">
        <v>39</v>
      </c>
      <c r="E9" s="7">
        <v>4000</v>
      </c>
      <c r="F9" s="1" t="s">
        <v>22</v>
      </c>
      <c r="G9" s="6">
        <v>2022</v>
      </c>
      <c r="H9" s="1" t="s">
        <v>23</v>
      </c>
      <c r="I9" s="3">
        <v>44729</v>
      </c>
      <c r="J9" s="13" t="s">
        <v>24</v>
      </c>
      <c r="K9" s="13" t="s">
        <v>25</v>
      </c>
      <c r="L9" s="12"/>
      <c r="M9" s="4"/>
      <c r="N9" s="14"/>
      <c r="O9" s="12"/>
      <c r="P9" s="7">
        <f>+Tabla6[[#This Row],[Quantity (Box)]]</f>
        <v>39</v>
      </c>
    </row>
    <row r="10" spans="1:22" ht="30" customHeight="1">
      <c r="A10" s="5" t="s">
        <v>34</v>
      </c>
      <c r="B10" s="1" t="s">
        <v>35</v>
      </c>
      <c r="C10" s="1" t="e">
        <f>+VLOOKUP(Tabla6[[#This Row],[codigo]],Tabla35[#All],2,0)</f>
        <v>#N/A</v>
      </c>
      <c r="D10" s="7">
        <v>63</v>
      </c>
      <c r="E10" s="7">
        <v>1500</v>
      </c>
      <c r="F10" s="1" t="s">
        <v>22</v>
      </c>
      <c r="G10" s="6">
        <v>2022</v>
      </c>
      <c r="H10" s="1" t="s">
        <v>23</v>
      </c>
      <c r="I10" s="3">
        <v>44729</v>
      </c>
      <c r="J10" s="13" t="s">
        <v>24</v>
      </c>
      <c r="K10" s="13" t="s">
        <v>25</v>
      </c>
      <c r="L10" s="12"/>
      <c r="M10" s="4"/>
      <c r="N10" s="14"/>
      <c r="O10" s="12"/>
      <c r="P10" s="7">
        <f>+Tabla6[[#This Row],[Quantity (Box)]]</f>
        <v>63</v>
      </c>
    </row>
    <row r="11" spans="1:22" ht="30" customHeight="1">
      <c r="A11" s="5" t="s">
        <v>36</v>
      </c>
      <c r="B11" s="1" t="s">
        <v>37</v>
      </c>
      <c r="C11" s="1" t="e">
        <f>+VLOOKUP(Tabla6[[#This Row],[codigo]],Tabla35[#All],2,0)</f>
        <v>#N/A</v>
      </c>
      <c r="D11" s="7">
        <v>39</v>
      </c>
      <c r="E11" s="7">
        <v>4000</v>
      </c>
      <c r="F11" s="1" t="s">
        <v>22</v>
      </c>
      <c r="G11" s="6">
        <v>2022</v>
      </c>
      <c r="H11" s="1" t="s">
        <v>23</v>
      </c>
      <c r="I11" s="3">
        <v>44729</v>
      </c>
      <c r="J11" s="13" t="s">
        <v>24</v>
      </c>
      <c r="K11" s="13" t="s">
        <v>25</v>
      </c>
      <c r="L11" s="12"/>
      <c r="M11" s="4"/>
      <c r="N11" s="14"/>
      <c r="O11" s="12"/>
      <c r="P11" s="7">
        <f>+Tabla6[[#This Row],[Quantity (Box)]]</f>
        <v>39</v>
      </c>
    </row>
    <row r="12" spans="1:22" ht="30" customHeight="1">
      <c r="A12" s="5" t="s">
        <v>38</v>
      </c>
      <c r="B12" s="1" t="s">
        <v>39</v>
      </c>
      <c r="C12" s="1" t="e">
        <f>+VLOOKUP(Tabla6[[#This Row],[codigo]],Tabla35[#All],2,0)</f>
        <v>#N/A</v>
      </c>
      <c r="D12" s="7">
        <v>63</v>
      </c>
      <c r="E12" s="7">
        <v>1500</v>
      </c>
      <c r="F12" s="1" t="s">
        <v>22</v>
      </c>
      <c r="G12" s="6">
        <v>2022</v>
      </c>
      <c r="H12" s="1" t="s">
        <v>23</v>
      </c>
      <c r="I12" s="3">
        <v>44729</v>
      </c>
      <c r="J12" s="13" t="s">
        <v>24</v>
      </c>
      <c r="K12" s="13" t="s">
        <v>25</v>
      </c>
      <c r="L12" s="12"/>
      <c r="M12" s="4"/>
      <c r="N12" s="14"/>
      <c r="O12" s="12"/>
      <c r="P12" s="7">
        <f>+Tabla6[[#This Row],[Quantity (Box)]]</f>
        <v>63</v>
      </c>
    </row>
    <row r="13" spans="1:22" ht="30" customHeight="1">
      <c r="A13" s="5" t="s">
        <v>40</v>
      </c>
      <c r="B13" s="1" t="s">
        <v>41</v>
      </c>
      <c r="C13" s="1" t="e">
        <f>+VLOOKUP(Tabla6[[#This Row],[codigo]],Tabla35[#All],2,0)</f>
        <v>#N/A</v>
      </c>
      <c r="D13" s="7">
        <v>39</v>
      </c>
      <c r="E13" s="7">
        <v>4000</v>
      </c>
      <c r="F13" s="1" t="s">
        <v>22</v>
      </c>
      <c r="G13" s="6">
        <v>2022</v>
      </c>
      <c r="H13" s="1" t="s">
        <v>23</v>
      </c>
      <c r="I13" s="3">
        <v>44729</v>
      </c>
      <c r="J13" s="13" t="s">
        <v>24</v>
      </c>
      <c r="K13" s="13" t="s">
        <v>25</v>
      </c>
      <c r="L13" s="12"/>
      <c r="M13" s="4"/>
      <c r="N13" s="12"/>
      <c r="O13" s="12"/>
      <c r="P13" s="7">
        <f>+Tabla6[[#This Row],[Quantity (Box)]]</f>
        <v>39</v>
      </c>
    </row>
    <row r="14" spans="1:22" ht="30" customHeight="1">
      <c r="A14" s="15" t="s">
        <v>42</v>
      </c>
      <c r="B14" s="1" t="s">
        <v>43</v>
      </c>
      <c r="C14" s="1" t="e">
        <f>+VLOOKUP(Tabla6[[#This Row],[codigo]],Tabla35[#All],2,0)</f>
        <v>#N/A</v>
      </c>
      <c r="D14" s="7">
        <v>39</v>
      </c>
      <c r="E14" s="7">
        <v>4000</v>
      </c>
      <c r="F14" s="1" t="s">
        <v>22</v>
      </c>
      <c r="G14" s="6">
        <v>2022</v>
      </c>
      <c r="H14" s="1" t="s">
        <v>23</v>
      </c>
      <c r="I14" s="3">
        <v>44729</v>
      </c>
      <c r="J14" s="13" t="s">
        <v>24</v>
      </c>
      <c r="K14" s="13" t="s">
        <v>25</v>
      </c>
      <c r="L14" s="12"/>
      <c r="M14" s="4"/>
      <c r="N14" s="12"/>
      <c r="O14" s="12"/>
      <c r="P14" s="7">
        <f>+Tabla6[[#This Row],[Quantity (Box)]]</f>
        <v>39</v>
      </c>
    </row>
    <row r="15" spans="1:22" ht="30" customHeight="1">
      <c r="A15" s="5" t="s">
        <v>44</v>
      </c>
      <c r="B15" s="1" t="s">
        <v>45</v>
      </c>
      <c r="C15" s="1" t="e">
        <f>+VLOOKUP(Tabla6[[#This Row],[codigo]],Tabla35[#All],2,0)</f>
        <v>#N/A</v>
      </c>
      <c r="D15" s="7">
        <v>39</v>
      </c>
      <c r="E15" s="7">
        <v>4000</v>
      </c>
      <c r="F15" s="1" t="s">
        <v>22</v>
      </c>
      <c r="G15" s="6">
        <v>2022</v>
      </c>
      <c r="H15" s="1" t="s">
        <v>23</v>
      </c>
      <c r="I15" s="23"/>
      <c r="J15" s="13" t="s">
        <v>24</v>
      </c>
      <c r="K15" s="13" t="s">
        <v>25</v>
      </c>
      <c r="L15" s="23"/>
      <c r="M15" s="23"/>
      <c r="N15" s="23"/>
      <c r="O15" s="23"/>
      <c r="P15" s="7">
        <f>+Tabla6[[#This Row],[Quantity (Box)]]</f>
        <v>39</v>
      </c>
    </row>
    <row r="16" spans="1:22" ht="30" customHeight="1">
      <c r="A16" s="5" t="s">
        <v>46</v>
      </c>
      <c r="B16" s="1" t="s">
        <v>47</v>
      </c>
      <c r="C16" s="1" t="e">
        <f>+VLOOKUP(Tabla6[[#This Row],[codigo]],Tabla35[#All],2,0)</f>
        <v>#N/A</v>
      </c>
      <c r="D16" s="7">
        <v>63</v>
      </c>
      <c r="E16" s="7">
        <v>1500</v>
      </c>
      <c r="F16" s="1" t="s">
        <v>22</v>
      </c>
      <c r="G16" s="6">
        <v>2022</v>
      </c>
      <c r="H16" s="1" t="s">
        <v>23</v>
      </c>
      <c r="I16" s="23"/>
      <c r="J16" s="13" t="s">
        <v>24</v>
      </c>
      <c r="K16" s="13" t="s">
        <v>25</v>
      </c>
      <c r="L16" s="23"/>
      <c r="M16" s="23"/>
      <c r="N16" s="23"/>
      <c r="O16" s="23"/>
      <c r="P16" s="7">
        <f>+Tabla6[[#This Row],[Quantity (Box)]]</f>
        <v>63</v>
      </c>
    </row>
    <row r="17" spans="1:16" ht="30" customHeight="1">
      <c r="A17" s="5" t="s">
        <v>48</v>
      </c>
      <c r="B17" s="1" t="s">
        <v>49</v>
      </c>
      <c r="C17" s="1" t="e">
        <f>+VLOOKUP(Tabla6[[#This Row],[codigo]],Tabla35[#All],2,0)</f>
        <v>#N/A</v>
      </c>
      <c r="D17" s="7">
        <v>63</v>
      </c>
      <c r="E17" s="7">
        <v>1500</v>
      </c>
      <c r="F17" s="1" t="s">
        <v>22</v>
      </c>
      <c r="G17" s="6">
        <v>2022</v>
      </c>
      <c r="H17" s="1" t="s">
        <v>23</v>
      </c>
      <c r="I17" s="23"/>
      <c r="J17" s="13" t="s">
        <v>24</v>
      </c>
      <c r="K17" s="13" t="s">
        <v>25</v>
      </c>
      <c r="L17" s="23"/>
      <c r="M17" s="23"/>
      <c r="N17" s="23"/>
      <c r="O17" s="23"/>
      <c r="P17" s="7">
        <f>+Tabla6[[#This Row],[Quantity (Box)]]</f>
        <v>63</v>
      </c>
    </row>
    <row r="18" spans="1:16" ht="30" customHeight="1">
      <c r="A18" s="5" t="s">
        <v>50</v>
      </c>
      <c r="B18" s="1" t="s">
        <v>51</v>
      </c>
      <c r="C18" s="1" t="e">
        <f>+VLOOKUP(Tabla6[[#This Row],[codigo]],Tabla35[#All],2,0)</f>
        <v>#N/A</v>
      </c>
      <c r="D18" s="7">
        <v>39</v>
      </c>
      <c r="E18" s="7">
        <v>4000</v>
      </c>
      <c r="F18" s="1" t="s">
        <v>22</v>
      </c>
      <c r="G18" s="6">
        <v>2022</v>
      </c>
      <c r="H18" s="1" t="s">
        <v>23</v>
      </c>
      <c r="I18" s="14"/>
      <c r="J18" s="13" t="s">
        <v>24</v>
      </c>
      <c r="K18" s="13" t="s">
        <v>25</v>
      </c>
      <c r="L18" s="23"/>
      <c r="M18" s="23"/>
      <c r="N18" s="23"/>
      <c r="O18" s="23"/>
      <c r="P18" s="7">
        <f>+Tabla6[[#This Row],[Quantity (Box)]]</f>
        <v>39</v>
      </c>
    </row>
    <row r="19" spans="1:16" ht="30" customHeight="1">
      <c r="A19" s="15" t="s">
        <v>52</v>
      </c>
      <c r="B19" s="2" t="s">
        <v>53</v>
      </c>
      <c r="C19" s="2" t="e">
        <f>+VLOOKUP(Tabla6[[#This Row],[codigo]],Tabla35[#All],2,0)</f>
        <v>#N/A</v>
      </c>
      <c r="D19" s="7">
        <v>63</v>
      </c>
      <c r="E19" s="7">
        <v>1500</v>
      </c>
      <c r="F19" s="1" t="s">
        <v>22</v>
      </c>
      <c r="G19" s="6">
        <v>2022</v>
      </c>
      <c r="H19" s="1" t="s">
        <v>23</v>
      </c>
      <c r="I19" s="23"/>
      <c r="J19" s="13" t="s">
        <v>24</v>
      </c>
      <c r="K19" s="13" t="s">
        <v>25</v>
      </c>
      <c r="L19" s="14"/>
      <c r="M19" s="14"/>
      <c r="N19" s="14"/>
      <c r="O19" s="14"/>
      <c r="P19" s="7">
        <f>+Tabla6[[#This Row],[Quantity (Box)]]</f>
        <v>63</v>
      </c>
    </row>
    <row r="20" spans="1:16" ht="30" customHeight="1">
      <c r="A20" s="5" t="s">
        <v>54</v>
      </c>
      <c r="B20" s="1" t="s">
        <v>55</v>
      </c>
      <c r="C20" s="1" t="e">
        <f>+VLOOKUP(Tabla6[[#This Row],[codigo]],Tabla35[#All],2,0)</f>
        <v>#N/A</v>
      </c>
      <c r="D20" s="7">
        <v>39</v>
      </c>
      <c r="E20" s="7">
        <v>4000</v>
      </c>
      <c r="F20" s="1" t="s">
        <v>56</v>
      </c>
      <c r="G20" s="6">
        <v>2022</v>
      </c>
      <c r="H20" s="1" t="s">
        <v>23</v>
      </c>
      <c r="I20" s="24"/>
      <c r="J20" s="13" t="s">
        <v>24</v>
      </c>
      <c r="K20" s="13" t="s">
        <v>25</v>
      </c>
      <c r="L20" s="23"/>
      <c r="M20" s="23"/>
      <c r="N20" s="23"/>
      <c r="O20" s="23"/>
      <c r="P20" s="7">
        <f>+Tabla6[[#This Row],[Quantity (Box)]]</f>
        <v>39</v>
      </c>
    </row>
    <row r="21" spans="1:16" ht="30" customHeight="1">
      <c r="A21" s="5" t="s">
        <v>57</v>
      </c>
      <c r="B21" s="2" t="s">
        <v>58</v>
      </c>
      <c r="C21" s="2" t="e">
        <f>+VLOOKUP(Tabla6[[#This Row],[codigo]],Tabla35[#All],2,0)</f>
        <v>#N/A</v>
      </c>
      <c r="D21" s="7">
        <v>63</v>
      </c>
      <c r="E21" s="7">
        <v>1500</v>
      </c>
      <c r="F21" s="1" t="s">
        <v>56</v>
      </c>
      <c r="G21" s="10">
        <v>2022</v>
      </c>
      <c r="H21" s="1" t="s">
        <v>23</v>
      </c>
      <c r="I21" s="25"/>
      <c r="J21" s="13" t="s">
        <v>24</v>
      </c>
      <c r="K21" s="13" t="s">
        <v>25</v>
      </c>
      <c r="L21" s="14"/>
      <c r="M21" s="14"/>
      <c r="N21" s="14"/>
      <c r="O21" s="14"/>
      <c r="P21" s="7">
        <f>+Tabla6[[#This Row],[Quantity (Box)]]</f>
        <v>63</v>
      </c>
    </row>
    <row r="22" spans="1:16" ht="30" customHeight="1">
      <c r="A22" s="5" t="s">
        <v>59</v>
      </c>
      <c r="B22" s="1" t="s">
        <v>60</v>
      </c>
      <c r="C22" s="1" t="e">
        <f>+VLOOKUP(Tabla6[[#This Row],[codigo]],Tabla35[#All],2,0)</f>
        <v>#N/A</v>
      </c>
      <c r="D22" s="7">
        <v>49.7</v>
      </c>
      <c r="E22" s="7">
        <v>1656</v>
      </c>
      <c r="F22" s="1" t="s">
        <v>61</v>
      </c>
      <c r="G22" s="10">
        <v>2022</v>
      </c>
      <c r="H22" s="1" t="s">
        <v>23</v>
      </c>
      <c r="I22" s="24" t="s">
        <v>62</v>
      </c>
      <c r="J22" s="13" t="s">
        <v>24</v>
      </c>
      <c r="K22" s="13" t="s">
        <v>25</v>
      </c>
      <c r="L22" s="23"/>
      <c r="M22" s="23"/>
      <c r="N22" s="23"/>
      <c r="O22" s="23"/>
      <c r="P22" s="1">
        <f>+Tabla6[[#This Row],[Quantity (Box)]]</f>
        <v>49.7</v>
      </c>
    </row>
    <row r="23" spans="1:16" ht="30" customHeight="1">
      <c r="A23" s="5" t="s">
        <v>63</v>
      </c>
      <c r="B23" s="1" t="s">
        <v>64</v>
      </c>
      <c r="C23" s="1" t="e">
        <f>+VLOOKUP(Tabla6[[#This Row],[codigo]],Tabla35[#All],2,0)</f>
        <v>#N/A</v>
      </c>
      <c r="D23" s="7">
        <v>49.7</v>
      </c>
      <c r="E23" s="7">
        <v>1656</v>
      </c>
      <c r="F23" s="1" t="s">
        <v>61</v>
      </c>
      <c r="G23" s="10">
        <v>2022</v>
      </c>
      <c r="H23" s="1" t="s">
        <v>23</v>
      </c>
      <c r="I23" s="24" t="s">
        <v>62</v>
      </c>
      <c r="J23" s="13" t="s">
        <v>24</v>
      </c>
      <c r="K23" s="13" t="s">
        <v>25</v>
      </c>
      <c r="L23" s="23"/>
      <c r="M23" s="23"/>
      <c r="N23" s="23"/>
      <c r="O23" s="23"/>
      <c r="P23" s="1">
        <f>+Tabla6[[#This Row],[Quantity (Box)]]</f>
        <v>49.7</v>
      </c>
    </row>
    <row r="24" spans="1:16" ht="30" customHeight="1">
      <c r="A24" s="5" t="s">
        <v>65</v>
      </c>
      <c r="B24" s="1" t="s">
        <v>66</v>
      </c>
      <c r="C24" s="1" t="e">
        <f>+VLOOKUP(Tabla6[[#This Row],[codigo]],Tabla35[#All],2,0)</f>
        <v>#N/A</v>
      </c>
      <c r="D24" s="7">
        <v>49.7</v>
      </c>
      <c r="E24" s="7">
        <v>1656</v>
      </c>
      <c r="F24" s="1" t="s">
        <v>61</v>
      </c>
      <c r="G24" s="10">
        <v>2022</v>
      </c>
      <c r="H24" s="1" t="s">
        <v>23</v>
      </c>
      <c r="I24" s="24" t="s">
        <v>62</v>
      </c>
      <c r="J24" s="13" t="s">
        <v>24</v>
      </c>
      <c r="K24" s="13" t="s">
        <v>25</v>
      </c>
      <c r="L24" s="23"/>
      <c r="M24" s="23"/>
      <c r="N24" s="23"/>
      <c r="O24" s="23"/>
      <c r="P24" s="1">
        <f>+Tabla6[[#This Row],[Quantity (Box)]]</f>
        <v>49.7</v>
      </c>
    </row>
    <row r="25" spans="1:16" ht="30" customHeight="1">
      <c r="A25" s="5" t="s">
        <v>67</v>
      </c>
      <c r="B25" s="1" t="s">
        <v>68</v>
      </c>
      <c r="C25" s="1" t="e">
        <f>+VLOOKUP(Tabla6[[#This Row],[codigo]],Tabla35[#All],2,0)</f>
        <v>#N/A</v>
      </c>
      <c r="D25" s="7">
        <v>49.7</v>
      </c>
      <c r="E25" s="7">
        <v>1656</v>
      </c>
      <c r="F25" s="1" t="s">
        <v>61</v>
      </c>
      <c r="G25" s="10">
        <v>2022</v>
      </c>
      <c r="H25" s="1" t="s">
        <v>23</v>
      </c>
      <c r="I25" s="24" t="s">
        <v>62</v>
      </c>
      <c r="J25" s="13" t="s">
        <v>24</v>
      </c>
      <c r="K25" s="13" t="s">
        <v>25</v>
      </c>
      <c r="L25" s="23"/>
      <c r="M25" s="23"/>
      <c r="N25" s="23"/>
      <c r="O25" s="23"/>
      <c r="P25" s="1">
        <f>+Tabla6[[#This Row],[Quantity (Box)]]</f>
        <v>49.7</v>
      </c>
    </row>
    <row r="26" spans="1:16" ht="30" customHeight="1">
      <c r="A26" s="15" t="s">
        <v>69</v>
      </c>
      <c r="B26" s="2" t="s">
        <v>70</v>
      </c>
      <c r="C26" s="2" t="e">
        <f>+VLOOKUP(Tabla6[[#This Row],[codigo]],Tabla35[#All],2,0)</f>
        <v>#N/A</v>
      </c>
      <c r="D26" s="7">
        <v>49.7</v>
      </c>
      <c r="E26" s="7">
        <v>1656</v>
      </c>
      <c r="F26" s="1" t="s">
        <v>61</v>
      </c>
      <c r="G26" s="10">
        <v>2022</v>
      </c>
      <c r="H26" s="1" t="s">
        <v>23</v>
      </c>
      <c r="I26" s="24" t="s">
        <v>62</v>
      </c>
      <c r="J26" s="13" t="s">
        <v>24</v>
      </c>
      <c r="K26" s="13" t="s">
        <v>25</v>
      </c>
      <c r="L26" s="14"/>
      <c r="M26" s="14"/>
      <c r="N26" s="14"/>
      <c r="O26" s="14"/>
      <c r="P26" s="1">
        <f>+Tabla6[[#This Row],[Quantity (Box)]]</f>
        <v>49.7</v>
      </c>
    </row>
  </sheetData>
  <dataConsolidate/>
  <mergeCells count="1">
    <mergeCell ref="A1:V3"/>
  </mergeCells>
  <phoneticPr fontId="4" type="noConversion"/>
  <conditionalFormatting sqref="B15:C19">
    <cfRule type="duplicateValues" dxfId="81" priority="4"/>
  </conditionalFormatting>
  <conditionalFormatting sqref="B20:C21">
    <cfRule type="duplicateValues" dxfId="80" priority="3"/>
  </conditionalFormatting>
  <conditionalFormatting sqref="B22:C26">
    <cfRule type="duplicateValues" dxfId="79" priority="2"/>
  </conditionalFormatting>
  <conditionalFormatting sqref="A6:A26">
    <cfRule type="duplicateValues" dxfId="78" priority="1"/>
  </conditionalFormatting>
  <dataValidations count="2">
    <dataValidation type="list" allowBlank="1" showInputMessage="1" showErrorMessage="1" sqref="J6:J26" xr:uid="{2BF3D18D-F4CB-4181-B07B-F93667B0CA71}">
      <formula1>$V$6:$V$7</formula1>
    </dataValidation>
    <dataValidation type="list" allowBlank="1" showInputMessage="1" showErrorMessage="1" sqref="K6:K26" xr:uid="{42148A4F-FCCF-4C4A-ABA0-5B78E7C165FB}">
      <formula1>$S$6:$S$8</formula1>
    </dataValidation>
  </dataValidations>
  <pageMargins left="0.7" right="0.7" top="0.75" bottom="0.75" header="0.3" footer="0.3"/>
  <pageSetup orientation="portrait" horizontalDpi="360" verticalDpi="360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5F0EA-0D69-4FD1-A42A-332BD9B8AF9E}">
  <sheetPr codeName="Hoja3">
    <tabColor theme="7" tint="0.79998168889431442"/>
    <pageSetUpPr fitToPage="1"/>
  </sheetPr>
  <dimension ref="A1:M20"/>
  <sheetViews>
    <sheetView zoomScale="55" zoomScaleNormal="55" workbookViewId="0">
      <selection activeCell="H16" sqref="H16"/>
    </sheetView>
  </sheetViews>
  <sheetFormatPr defaultColWidth="11.42578125" defaultRowHeight="15" customHeight="1"/>
  <cols>
    <col min="1" max="1" width="16.85546875" customWidth="1"/>
    <col min="2" max="2" width="29.42578125" customWidth="1"/>
    <col min="3" max="3" width="19" hidden="1" customWidth="1"/>
    <col min="4" max="4" width="18.140625" hidden="1" customWidth="1"/>
    <col min="5" max="5" width="13.42578125" hidden="1" customWidth="1"/>
    <col min="6" max="6" width="19.42578125" bestFit="1" customWidth="1"/>
    <col min="7" max="7" width="35.140625" style="34" customWidth="1"/>
    <col min="8" max="8" width="28.42578125" customWidth="1"/>
    <col min="9" max="9" width="17.5703125" style="33" hidden="1" customWidth="1"/>
    <col min="10" max="10" width="17.5703125" style="33" customWidth="1"/>
    <col min="11" max="11" width="29.42578125" style="33" customWidth="1"/>
    <col min="12" max="12" width="26.42578125" style="33" customWidth="1"/>
    <col min="13" max="13" width="25.42578125" customWidth="1"/>
  </cols>
  <sheetData>
    <row r="1" spans="1:13" ht="48" customHeight="1">
      <c r="A1" s="69" t="s">
        <v>71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</row>
    <row r="2" spans="1:13" ht="39.75" customHeight="1">
      <c r="A2" s="51" t="s">
        <v>72</v>
      </c>
      <c r="B2" s="51" t="s">
        <v>3</v>
      </c>
      <c r="C2" s="51" t="s">
        <v>73</v>
      </c>
      <c r="D2" s="51" t="s">
        <v>74</v>
      </c>
      <c r="E2" s="52" t="s">
        <v>75</v>
      </c>
      <c r="F2" s="53" t="s">
        <v>76</v>
      </c>
      <c r="G2" s="54" t="s">
        <v>77</v>
      </c>
      <c r="H2" s="53" t="s">
        <v>78</v>
      </c>
      <c r="I2" s="55" t="s">
        <v>79</v>
      </c>
      <c r="J2" s="55" t="s">
        <v>80</v>
      </c>
      <c r="K2" s="55" t="s">
        <v>81</v>
      </c>
      <c r="L2" s="55" t="s">
        <v>82</v>
      </c>
      <c r="M2" s="53" t="s">
        <v>83</v>
      </c>
    </row>
    <row r="3" spans="1:13" ht="34.35" customHeight="1">
      <c r="A3" s="56" t="s">
        <v>84</v>
      </c>
      <c r="B3" s="57" t="s">
        <v>85</v>
      </c>
      <c r="C3" s="58">
        <v>5</v>
      </c>
      <c r="D3" s="58">
        <f>+SUMIF(Tabla356[Code],Tabla35[[#This Row],[Code]],Tabla356[QTY GARRAFON])</f>
        <v>0</v>
      </c>
      <c r="E3" s="59">
        <f>+SUMIF(Tabla3568[Code],Tabla35[[#This Row],[Code]],Tabla3568[QTY])</f>
        <v>0</v>
      </c>
      <c r="F3" s="61">
        <f>+(Tabla35[[#This Row],[Initial Inventory (Garrafones)]]+Tabla35[[#This Row],[Input ]])-Tabla35[[#This Row],[Output]]</f>
        <v>5</v>
      </c>
      <c r="G3" s="60">
        <f>+Tabla35[[#This Row],[Stock (qty)]]*5</f>
        <v>25</v>
      </c>
      <c r="H3" s="60">
        <v>15</v>
      </c>
      <c r="I3" s="60">
        <v>3</v>
      </c>
      <c r="J3" s="60">
        <v>6</v>
      </c>
      <c r="K3" s="60">
        <v>100</v>
      </c>
      <c r="L3" s="60"/>
      <c r="M3" s="57" t="str">
        <f>+IF(Tabla35[[#This Row],[Qty Galones]]&gt;Tabla35[[#This Row],[Reoder]],"ESTABLE","ORDENAR")</f>
        <v>ESTABLE</v>
      </c>
    </row>
    <row r="4" spans="1:13" ht="34.35" customHeight="1">
      <c r="A4" s="56" t="s">
        <v>86</v>
      </c>
      <c r="B4" s="57" t="s">
        <v>87</v>
      </c>
      <c r="C4" s="58">
        <v>6</v>
      </c>
      <c r="D4" s="58">
        <f>+SUMIF(Tabla356[Code],Tabla35[[#This Row],[Code]],Tabla356[QTY GARRAFON])</f>
        <v>0</v>
      </c>
      <c r="E4" s="59">
        <f>+SUMIF(Tabla3568[Code],Tabla35[[#This Row],[Code]],Tabla3568[QTY])</f>
        <v>2</v>
      </c>
      <c r="F4" s="61">
        <f>+(Tabla35[[#This Row],[Initial Inventory (Garrafones)]]+Tabla35[[#This Row],[Input ]])-Tabla35[[#This Row],[Output]]</f>
        <v>4</v>
      </c>
      <c r="G4" s="60">
        <f>+Tabla35[[#This Row],[Stock (qty)]]*5</f>
        <v>20</v>
      </c>
      <c r="H4" s="60">
        <v>15</v>
      </c>
      <c r="I4" s="60">
        <v>3</v>
      </c>
      <c r="J4" s="60">
        <v>6</v>
      </c>
      <c r="K4" s="60"/>
      <c r="L4" s="60"/>
      <c r="M4" s="57" t="str">
        <f>+IF(Tabla35[[#This Row],[Qty Galones]]&gt;Tabla35[[#This Row],[Reoder]],"ESTABLE","ORDENAR")</f>
        <v>ESTABLE</v>
      </c>
    </row>
    <row r="5" spans="1:13" ht="34.35" customHeight="1">
      <c r="A5" s="56" t="s">
        <v>88</v>
      </c>
      <c r="B5" s="57" t="s">
        <v>89</v>
      </c>
      <c r="C5" s="58">
        <v>6</v>
      </c>
      <c r="D5" s="58">
        <f>+SUMIF(Tabla356[Code],Tabla35[[#This Row],[Code]],Tabla356[QTY GARRAFON])</f>
        <v>0</v>
      </c>
      <c r="E5" s="59">
        <f>+SUMIF(Tabla3568[Code],Tabla35[[#This Row],[Code]],Tabla3568[QTY])</f>
        <v>5</v>
      </c>
      <c r="F5" s="61">
        <f>+(Tabla35[[#This Row],[Initial Inventory (Garrafones)]]+Tabla35[[#This Row],[Input ]])-Tabla35[[#This Row],[Output]]</f>
        <v>1</v>
      </c>
      <c r="G5" s="60">
        <f>+Tabla35[[#This Row],[Stock (qty)]]*5</f>
        <v>5</v>
      </c>
      <c r="H5" s="60">
        <v>15</v>
      </c>
      <c r="I5" s="60">
        <v>3</v>
      </c>
      <c r="J5" s="60">
        <v>6</v>
      </c>
      <c r="K5" s="60"/>
      <c r="L5" s="60"/>
      <c r="M5" s="57" t="str">
        <f>+IF(Tabla35[[#This Row],[Qty Galones]]&gt;Tabla35[[#This Row],[Reoder]],"ESTABLE","ORDENAR")</f>
        <v>ORDENAR</v>
      </c>
    </row>
    <row r="6" spans="1:13" ht="34.35" customHeight="1">
      <c r="A6" s="56" t="s">
        <v>90</v>
      </c>
      <c r="B6" s="57" t="s">
        <v>91</v>
      </c>
      <c r="C6" s="58">
        <v>5</v>
      </c>
      <c r="D6" s="58">
        <f>+SUMIF(Tabla356[Code],Tabla35[[#This Row],[Code]],Tabla356[QTY GARRAFON])</f>
        <v>0</v>
      </c>
      <c r="E6" s="59">
        <f>+SUMIF(Tabla3568[Code],Tabla35[[#This Row],[Code]],Tabla3568[QTY])</f>
        <v>2</v>
      </c>
      <c r="F6" s="61">
        <f>+(Tabla35[[#This Row],[Initial Inventory (Garrafones)]]+Tabla35[[#This Row],[Input ]])-Tabla35[[#This Row],[Output]]</f>
        <v>3</v>
      </c>
      <c r="G6" s="60">
        <f>+Tabla35[[#This Row],[Stock (qty)]]*5</f>
        <v>15</v>
      </c>
      <c r="H6" s="60">
        <v>15</v>
      </c>
      <c r="I6" s="60">
        <v>3</v>
      </c>
      <c r="J6" s="60">
        <v>6</v>
      </c>
      <c r="K6" s="60">
        <v>100</v>
      </c>
      <c r="L6" s="60"/>
      <c r="M6" s="57" t="str">
        <f>+IF(Tabla35[[#This Row],[Qty Galones]]&gt;Tabla35[[#This Row],[Reoder]],"ESTABLE","ORDENAR")</f>
        <v>ORDENAR</v>
      </c>
    </row>
    <row r="7" spans="1:13" ht="34.35" customHeight="1">
      <c r="A7" s="56" t="s">
        <v>92</v>
      </c>
      <c r="B7" s="57" t="s">
        <v>93</v>
      </c>
      <c r="C7" s="58">
        <v>6</v>
      </c>
      <c r="D7" s="58">
        <f>+SUMIF(Tabla356[Code],Tabla35[[#This Row],[Code]],Tabla356[QTY GARRAFON])</f>
        <v>0</v>
      </c>
      <c r="E7" s="59">
        <f>+SUMIF(Tabla3568[Code],Tabla35[[#This Row],[Code]],Tabla3568[QTY])</f>
        <v>1</v>
      </c>
      <c r="F7" s="61">
        <f>+(Tabla35[[#This Row],[Initial Inventory (Garrafones)]]+Tabla35[[#This Row],[Input ]])-Tabla35[[#This Row],[Output]]</f>
        <v>5</v>
      </c>
      <c r="G7" s="60">
        <f>+Tabla35[[#This Row],[Stock (qty)]]*5</f>
        <v>25</v>
      </c>
      <c r="H7" s="60">
        <v>15</v>
      </c>
      <c r="I7" s="60">
        <v>3</v>
      </c>
      <c r="J7" s="60">
        <v>6</v>
      </c>
      <c r="K7" s="60"/>
      <c r="L7" s="60"/>
      <c r="M7" s="57" t="str">
        <f>+IF(Tabla35[[#This Row],[Qty Galones]]&gt;Tabla35[[#This Row],[Reoder]],"ESTABLE","ORDENAR")</f>
        <v>ESTABLE</v>
      </c>
    </row>
    <row r="8" spans="1:13" ht="34.35" customHeight="1">
      <c r="A8" s="56" t="s">
        <v>94</v>
      </c>
      <c r="B8" s="57" t="s">
        <v>95</v>
      </c>
      <c r="C8" s="58">
        <v>5</v>
      </c>
      <c r="D8" s="58">
        <f>+SUMIF(Tabla356[Code],Tabla35[[#This Row],[Code]],Tabla356[QTY GARRAFON])</f>
        <v>0</v>
      </c>
      <c r="E8" s="59">
        <f>+SUMIF(Tabla3568[Code],Tabla35[[#This Row],[Code]],Tabla3568[QTY])</f>
        <v>1</v>
      </c>
      <c r="F8" s="61">
        <f>+(Tabla35[[#This Row],[Initial Inventory (Garrafones)]]+Tabla35[[#This Row],[Input ]])-Tabla35[[#This Row],[Output]]</f>
        <v>4</v>
      </c>
      <c r="G8" s="60">
        <f>+Tabla35[[#This Row],[Stock (qty)]]*5</f>
        <v>20</v>
      </c>
      <c r="H8" s="60">
        <v>15</v>
      </c>
      <c r="I8" s="60">
        <v>3</v>
      </c>
      <c r="J8" s="60">
        <v>6</v>
      </c>
      <c r="K8" s="60"/>
      <c r="L8" s="60"/>
      <c r="M8" s="57" t="str">
        <f>+IF(Tabla35[[#This Row],[Qty Galones]]&gt;Tabla35[[#This Row],[Reoder]],"ESTABLE","ORDENAR")</f>
        <v>ESTABLE</v>
      </c>
    </row>
    <row r="9" spans="1:13" ht="34.35" customHeight="1">
      <c r="A9" s="56" t="s">
        <v>96</v>
      </c>
      <c r="B9" s="57" t="s">
        <v>97</v>
      </c>
      <c r="C9" s="58">
        <v>9</v>
      </c>
      <c r="D9" s="58">
        <f>+SUMIF(Tabla356[Code],Tabla35[[#This Row],[Code]],Tabla356[QTY GARRAFON])</f>
        <v>0</v>
      </c>
      <c r="E9" s="59">
        <f>+SUMIF(Tabla3568[Code],Tabla35[[#This Row],[Code]],Tabla3568[QTY])</f>
        <v>0</v>
      </c>
      <c r="F9" s="63">
        <f>+(Tabla35[[#This Row],[Initial Inventory (Garrafones)]]+Tabla35[[#This Row],[Input ]])-Tabla35[[#This Row],[Output]]</f>
        <v>9</v>
      </c>
      <c r="G9" s="60">
        <f>+Tabla35[[#This Row],[Stock (qty)]]*5</f>
        <v>45</v>
      </c>
      <c r="H9" s="60">
        <v>15</v>
      </c>
      <c r="I9" s="60">
        <v>3</v>
      </c>
      <c r="J9" s="60">
        <v>6</v>
      </c>
      <c r="K9" s="60"/>
      <c r="L9" s="60"/>
      <c r="M9" s="57" t="str">
        <f>+IF(Tabla35[[#This Row],[Qty Galones]]&gt;Tabla35[[#This Row],[Reoder]],"ESTABLE","ORDENAR")</f>
        <v>ESTABLE</v>
      </c>
    </row>
    <row r="10" spans="1:13" ht="34.35" customHeight="1">
      <c r="A10" s="56" t="s">
        <v>98</v>
      </c>
      <c r="B10" s="57" t="s">
        <v>99</v>
      </c>
      <c r="C10" s="58">
        <v>12</v>
      </c>
      <c r="D10" s="58">
        <f>+SUMIF(Tabla356[Code],Tabla35[[#This Row],[Code]],Tabla356[QTY GARRAFON])</f>
        <v>0</v>
      </c>
      <c r="E10" s="65">
        <f>+SUMIF(Tabla3568[Code],Tabla35[[#This Row],[Code]],Tabla3568[QTY])</f>
        <v>3</v>
      </c>
      <c r="F10" s="67">
        <f>+(Tabla35[[#This Row],[Initial Inventory (Garrafones)]]+Tabla35[[#This Row],[Input ]])-Tabla35[[#This Row],[Output]]</f>
        <v>9</v>
      </c>
      <c r="G10" s="66">
        <f>+Tabla35[[#This Row],[Stock (qty)]]*5</f>
        <v>45</v>
      </c>
      <c r="H10" s="60">
        <v>15</v>
      </c>
      <c r="I10" s="60">
        <v>3</v>
      </c>
      <c r="J10" s="60">
        <v>6</v>
      </c>
      <c r="K10" s="60"/>
      <c r="L10" s="60">
        <v>100</v>
      </c>
      <c r="M10" s="57" t="str">
        <f>+IF(Tabla35[[#This Row],[Qty Galones]]&gt;Tabla35[[#This Row],[Reoder]],"ESTABLE","ORDENAR")</f>
        <v>ESTABLE</v>
      </c>
    </row>
    <row r="11" spans="1:13" ht="34.35" customHeight="1">
      <c r="A11" s="56" t="s">
        <v>100</v>
      </c>
      <c r="B11" s="57" t="s">
        <v>101</v>
      </c>
      <c r="C11" s="58">
        <v>28</v>
      </c>
      <c r="D11" s="58">
        <f>+SUMIF(Tabla356[Code],Tabla35[[#This Row],[Code]],Tabla356[QTY GARRAFON])</f>
        <v>0</v>
      </c>
      <c r="E11" s="65">
        <f>+SUMIF(Tabla3568[Code],Tabla35[[#This Row],[Code]],Tabla3568[QTY])</f>
        <v>1</v>
      </c>
      <c r="F11" s="67">
        <f>+(Tabla35[[#This Row],[Initial Inventory (Garrafones)]]+Tabla35[[#This Row],[Input ]])-Tabla35[[#This Row],[Output]]</f>
        <v>27</v>
      </c>
      <c r="G11" s="66">
        <f>+Tabla35[[#This Row],[Stock (qty)]]*5</f>
        <v>135</v>
      </c>
      <c r="H11" s="60">
        <v>15</v>
      </c>
      <c r="I11" s="60">
        <v>3</v>
      </c>
      <c r="J11" s="60">
        <v>6</v>
      </c>
      <c r="K11" s="60">
        <v>100</v>
      </c>
      <c r="L11" s="60"/>
      <c r="M11" s="57" t="str">
        <f>+IF(Tabla35[[#This Row],[Qty Galones]]&gt;Tabla35[[#This Row],[Reoder]],"ESTABLE","ORDENAR")</f>
        <v>ESTABLE</v>
      </c>
    </row>
    <row r="12" spans="1:13" ht="15" customHeight="1">
      <c r="F12" s="64"/>
    </row>
    <row r="20" spans="7:7" ht="15" customHeight="1">
      <c r="G20" s="62"/>
    </row>
  </sheetData>
  <mergeCells count="1">
    <mergeCell ref="A1:M1"/>
  </mergeCells>
  <phoneticPr fontId="4" type="noConversion"/>
  <conditionalFormatting sqref="A1:A1048576">
    <cfRule type="duplicateValues" dxfId="50" priority="12"/>
  </conditionalFormatting>
  <conditionalFormatting sqref="M2:M1048576">
    <cfRule type="cellIs" dxfId="49" priority="7" operator="equal">
      <formula>"""INESTABLE"""</formula>
    </cfRule>
  </conditionalFormatting>
  <conditionalFormatting sqref="M3:M11">
    <cfRule type="cellIs" dxfId="48" priority="2" operator="equal">
      <formula>"ORDENAR"</formula>
    </cfRule>
    <cfRule type="cellIs" dxfId="47" priority="5" operator="equal">
      <formula>$M$1</formula>
    </cfRule>
  </conditionalFormatting>
  <conditionalFormatting sqref="A3:M11">
    <cfRule type="colorScale" priority="23">
      <colorScale>
        <cfvo type="formula" val="$M$3=&quot;INESTABLE&quot;"/>
        <cfvo type="max"/>
        <color rgb="FFFF7128"/>
        <color rgb="FFFFEF9C"/>
      </colorScale>
    </cfRule>
  </conditionalFormatting>
  <conditionalFormatting sqref="A3:H3 A4:A11 H3:H11">
    <cfRule type="colorScale" priority="25">
      <colorScale>
        <cfvo type="formula" val="$M$3=&quot;INESTABLE&quot;"/>
        <cfvo type="max"/>
        <color rgb="FFFF7C80"/>
        <color rgb="FFFFEF9C"/>
      </colorScale>
    </cfRule>
  </conditionalFormatting>
  <conditionalFormatting sqref="A3:L3 A4:A11 I4:L11 H3:H11">
    <cfRule type="colorScale" priority="28">
      <colorScale>
        <cfvo type="formula" val="$M$3=$M$1"/>
        <cfvo type="max"/>
        <color rgb="FFFF7C80"/>
        <color rgb="FFFFEF9C"/>
      </colorScale>
    </cfRule>
  </conditionalFormatting>
  <conditionalFormatting sqref="H4:H11">
    <cfRule type="colorScale" priority="34">
      <colorScale>
        <cfvo type="formula" val="$M$3=&quot;INESTABLE&quot;"/>
        <cfvo type="max"/>
        <color rgb="FFFF7C80"/>
        <color rgb="FFFFEF9C"/>
      </colorScale>
    </cfRule>
  </conditionalFormatting>
  <conditionalFormatting sqref="H4:H11">
    <cfRule type="colorScale" priority="35">
      <colorScale>
        <cfvo type="formula" val="$M$3=$M$1"/>
        <cfvo type="max"/>
        <color rgb="FFFF7C80"/>
        <color rgb="FFFFEF9C"/>
      </colorScale>
    </cfRule>
  </conditionalFormatting>
  <conditionalFormatting sqref="F12">
    <cfRule type="colorScale" priority="1">
      <colorScale>
        <cfvo type="formula" val="$M$3=&quot;INESTABLE&quot;"/>
        <cfvo type="max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73" orientation="landscape" horizontalDpi="360" verticalDpi="36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AA7DB-B643-4768-8F5B-38459EF81625}">
  <sheetPr codeName="Hoja4">
    <tabColor rgb="FF00B050"/>
  </sheetPr>
  <dimension ref="A1:E12"/>
  <sheetViews>
    <sheetView topLeftCell="A5" workbookViewId="0">
      <selection activeCell="E7" sqref="E7"/>
    </sheetView>
  </sheetViews>
  <sheetFormatPr defaultColWidth="11.42578125" defaultRowHeight="14.45"/>
  <cols>
    <col min="1" max="1" width="14.140625" bestFit="1" customWidth="1"/>
    <col min="2" max="2" width="16.85546875" bestFit="1" customWidth="1"/>
    <col min="3" max="3" width="14.42578125" style="33" bestFit="1" customWidth="1"/>
    <col min="4" max="4" width="16.140625" bestFit="1" customWidth="1"/>
    <col min="5" max="5" width="13.85546875" bestFit="1" customWidth="1"/>
  </cols>
  <sheetData>
    <row r="1" spans="1:5" hidden="1">
      <c r="A1" s="70"/>
      <c r="B1" s="70"/>
      <c r="C1" s="70"/>
      <c r="D1" s="70"/>
      <c r="E1" s="70"/>
    </row>
    <row r="2" spans="1:5" hidden="1">
      <c r="A2" s="70"/>
      <c r="B2" s="70"/>
      <c r="C2" s="70"/>
      <c r="D2" s="70"/>
      <c r="E2" s="70"/>
    </row>
    <row r="3" spans="1:5" hidden="1">
      <c r="A3" s="70"/>
      <c r="B3" s="70"/>
      <c r="C3" s="70"/>
      <c r="D3" s="70"/>
      <c r="E3" s="70"/>
    </row>
    <row r="4" spans="1:5" hidden="1"/>
    <row r="6" spans="1:5" ht="27.75" customHeight="1">
      <c r="A6" s="36" t="s">
        <v>72</v>
      </c>
      <c r="B6" s="17" t="s">
        <v>3</v>
      </c>
      <c r="C6" s="39" t="s">
        <v>102</v>
      </c>
      <c r="D6" s="37" t="s">
        <v>103</v>
      </c>
      <c r="E6" s="17" t="s">
        <v>104</v>
      </c>
    </row>
    <row r="7" spans="1:5" ht="30" customHeight="1">
      <c r="A7" s="1"/>
      <c r="B7" s="1" t="e">
        <f>+VLOOKUP(Tabla356[[#This Row],[Code]],Tabla35[#All],2,0)</f>
        <v>#N/A</v>
      </c>
      <c r="C7" s="7"/>
      <c r="D7" s="35"/>
      <c r="E7" s="41">
        <v>44888</v>
      </c>
    </row>
    <row r="8" spans="1:5" ht="18.600000000000001">
      <c r="A8" s="2" t="e">
        <f>+VLOOKUP(#REF!,Tabla6[#All],2,0)</f>
        <v>#REF!</v>
      </c>
      <c r="B8" s="2" t="e">
        <f>+VLOOKUP(Tabla356[[#This Row],[Code]],Tabla35[#All],2,0)</f>
        <v>#REF!</v>
      </c>
      <c r="C8" s="11"/>
      <c r="D8" s="38"/>
      <c r="E8" s="2"/>
    </row>
    <row r="12" spans="1:5" ht="15" customHeight="1"/>
  </sheetData>
  <mergeCells count="1">
    <mergeCell ref="A1:E3"/>
  </mergeCells>
  <phoneticPr fontId="4" type="noConversion"/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FC555-429E-4836-9F7E-0AEC709C41A1}">
  <sheetPr codeName="Hoja6">
    <tabColor rgb="FFC00000"/>
  </sheetPr>
  <dimension ref="A1:E925"/>
  <sheetViews>
    <sheetView topLeftCell="A5" zoomScale="70" zoomScaleNormal="70" workbookViewId="0">
      <selection activeCell="B20" sqref="B20"/>
    </sheetView>
  </sheetViews>
  <sheetFormatPr defaultColWidth="11.42578125" defaultRowHeight="14.45"/>
  <cols>
    <col min="1" max="1" width="14.140625" bestFit="1" customWidth="1"/>
    <col min="2" max="2" width="56.140625" customWidth="1"/>
    <col min="3" max="3" width="17.140625" bestFit="1" customWidth="1"/>
    <col min="4" max="4" width="30.42578125" bestFit="1" customWidth="1"/>
    <col min="5" max="5" width="30.85546875" customWidth="1"/>
  </cols>
  <sheetData>
    <row r="1" spans="1:5" hidden="1">
      <c r="A1" s="70"/>
      <c r="B1" s="70"/>
      <c r="C1" s="70"/>
      <c r="D1" s="70"/>
      <c r="E1" s="70"/>
    </row>
    <row r="2" spans="1:5" hidden="1">
      <c r="A2" s="70"/>
      <c r="B2" s="70"/>
      <c r="C2" s="70"/>
      <c r="D2" s="70"/>
      <c r="E2" s="70"/>
    </row>
    <row r="3" spans="1:5" hidden="1">
      <c r="A3" s="70"/>
      <c r="B3" s="70"/>
      <c r="C3" s="70"/>
      <c r="D3" s="70"/>
      <c r="E3" s="70"/>
    </row>
    <row r="4" spans="1:5" hidden="1"/>
    <row r="6" spans="1:5" ht="27.75" customHeight="1">
      <c r="A6" s="36" t="s">
        <v>72</v>
      </c>
      <c r="B6" s="17" t="s">
        <v>105</v>
      </c>
      <c r="C6" s="39" t="s">
        <v>106</v>
      </c>
      <c r="D6" s="39" t="s">
        <v>103</v>
      </c>
      <c r="E6" s="42" t="s">
        <v>104</v>
      </c>
    </row>
    <row r="7" spans="1:5" ht="30" customHeight="1">
      <c r="A7" s="40" t="s">
        <v>88</v>
      </c>
      <c r="B7" s="1" t="str">
        <f>+VLOOKUP(Tabla3568[[#This Row],[Code]],Tabla35[#All],2,0)</f>
        <v>Propylene Glycol</v>
      </c>
      <c r="C7" s="7">
        <v>1</v>
      </c>
      <c r="D7" s="35" t="s">
        <v>107</v>
      </c>
      <c r="E7" s="41">
        <v>44889</v>
      </c>
    </row>
    <row r="8" spans="1:5" ht="18.600000000000001">
      <c r="A8" s="40" t="s">
        <v>88</v>
      </c>
      <c r="B8" s="2" t="str">
        <f>+VLOOKUP(Tabla3568[[#This Row],[Code]],Tabla35[#All],2,0)</f>
        <v>Propylene Glycol</v>
      </c>
      <c r="C8" s="11">
        <v>1</v>
      </c>
      <c r="D8" s="38" t="s">
        <v>108</v>
      </c>
      <c r="E8" s="41">
        <v>44889</v>
      </c>
    </row>
    <row r="9" spans="1:5" ht="18.600000000000001">
      <c r="A9" s="40" t="s">
        <v>92</v>
      </c>
      <c r="B9" s="1" t="str">
        <f>+VLOOKUP(Tabla3568[[#This Row],[Code]],Tabla35[#All],2,0)</f>
        <v>Flavor Russiam Cream</v>
      </c>
      <c r="C9" s="7">
        <v>1</v>
      </c>
      <c r="D9" s="35" t="s">
        <v>108</v>
      </c>
      <c r="E9" s="41">
        <v>44889</v>
      </c>
    </row>
    <row r="10" spans="1:5" ht="18.600000000000001">
      <c r="A10" s="2" t="s">
        <v>90</v>
      </c>
      <c r="B10" s="2" t="str">
        <f>+VLOOKUP(Tabla3568[[#This Row],[Code]],Tabla35[#All],2,0)</f>
        <v>Flavor Banana Dream</v>
      </c>
      <c r="C10" s="11">
        <v>1</v>
      </c>
      <c r="D10" s="35" t="s">
        <v>108</v>
      </c>
      <c r="E10" s="41">
        <v>44890</v>
      </c>
    </row>
    <row r="11" spans="1:5" ht="18.600000000000001">
      <c r="A11" s="1" t="s">
        <v>86</v>
      </c>
      <c r="B11" s="1" t="str">
        <f>+VLOOKUP(Tabla3568[[#This Row],[Code]],Tabla35[#All],2,0)</f>
        <v>Flavor Honey 16xTAB</v>
      </c>
      <c r="C11" s="11">
        <v>1</v>
      </c>
      <c r="D11" s="35" t="s">
        <v>108</v>
      </c>
      <c r="E11" s="41">
        <v>44890</v>
      </c>
    </row>
    <row r="12" spans="1:5" ht="18.600000000000001">
      <c r="A12" s="43" t="s">
        <v>98</v>
      </c>
      <c r="B12" s="2" t="str">
        <f>+VLOOKUP(Tabla3568[[#This Row],[Code]],Tabla35[#All],2,0)</f>
        <v>Flavor Vainilla</v>
      </c>
      <c r="C12" s="11">
        <v>2</v>
      </c>
      <c r="D12" s="35" t="s">
        <v>108</v>
      </c>
      <c r="E12" s="41">
        <v>44900</v>
      </c>
    </row>
    <row r="13" spans="1:5" ht="18.600000000000001">
      <c r="A13" s="43" t="s">
        <v>88</v>
      </c>
      <c r="B13" s="2" t="str">
        <f>+VLOOKUP(Tabla3568[[#This Row],[Code]],Tabla35[#All],2,0)</f>
        <v>Propylene Glycol</v>
      </c>
      <c r="C13" s="11">
        <v>1</v>
      </c>
      <c r="D13" s="35" t="s">
        <v>108</v>
      </c>
      <c r="E13" s="41">
        <v>44900</v>
      </c>
    </row>
    <row r="14" spans="1:5" ht="18.600000000000001">
      <c r="A14" s="43" t="s">
        <v>100</v>
      </c>
      <c r="B14" s="2" t="str">
        <f>+VLOOKUP(Tabla3568[[#This Row],[Code]],Tabla35[#All],2,0)</f>
        <v>Flavor Fresa / Strawberry</v>
      </c>
      <c r="C14" s="11">
        <v>1</v>
      </c>
      <c r="D14" s="35" t="s">
        <v>108</v>
      </c>
      <c r="E14" s="3">
        <v>44904</v>
      </c>
    </row>
    <row r="15" spans="1:5" ht="18.600000000000001">
      <c r="A15" s="43" t="s">
        <v>90</v>
      </c>
      <c r="B15" s="2" t="str">
        <f>+VLOOKUP(Tabla3568[[#This Row],[Code]],Tabla35[#All],2,0)</f>
        <v>Flavor Banana Dream</v>
      </c>
      <c r="C15" s="11">
        <v>1</v>
      </c>
      <c r="D15" s="35" t="s">
        <v>108</v>
      </c>
      <c r="E15" s="3">
        <v>44907</v>
      </c>
    </row>
    <row r="16" spans="1:5" ht="18.600000000000001">
      <c r="A16" s="43" t="s">
        <v>94</v>
      </c>
      <c r="B16" s="2" t="str">
        <f>+VLOOKUP(Tabla3568[[#This Row],[Code]],Tabla35[#All],2,0)</f>
        <v>Flavor Honey Bourbon</v>
      </c>
      <c r="C16" s="11">
        <v>1</v>
      </c>
      <c r="D16" s="35" t="s">
        <v>108</v>
      </c>
      <c r="E16" s="3">
        <v>44908</v>
      </c>
    </row>
    <row r="17" spans="1:5" ht="18.600000000000001">
      <c r="A17" s="43" t="s">
        <v>86</v>
      </c>
      <c r="B17" s="2" t="str">
        <f>+VLOOKUP(Tabla3568[[#This Row],[Code]],Tabla35[#All],2,0)</f>
        <v>Flavor Honey 16xTAB</v>
      </c>
      <c r="C17" s="11">
        <v>1</v>
      </c>
      <c r="D17" s="35" t="s">
        <v>108</v>
      </c>
      <c r="E17" s="3">
        <v>44911</v>
      </c>
    </row>
    <row r="18" spans="1:5" ht="18.600000000000001">
      <c r="A18" s="43" t="s">
        <v>88</v>
      </c>
      <c r="B18" s="2" t="str">
        <f>+VLOOKUP(Tabla3568[[#This Row],[Code]],Tabla35[#All],2,0)</f>
        <v>Propylene Glycol</v>
      </c>
      <c r="C18" s="11">
        <v>2</v>
      </c>
      <c r="D18" s="35" t="s">
        <v>108</v>
      </c>
      <c r="E18" s="3">
        <v>44915</v>
      </c>
    </row>
    <row r="19" spans="1:5" ht="18.600000000000001">
      <c r="A19" s="43" t="s">
        <v>98</v>
      </c>
      <c r="B19" s="2" t="str">
        <f>+VLOOKUP(Tabla3568[[#This Row],[Code]],Tabla35[#All],2,0)</f>
        <v>Flavor Vainilla</v>
      </c>
      <c r="C19" s="11">
        <v>1</v>
      </c>
      <c r="D19" s="35" t="s">
        <v>108</v>
      </c>
      <c r="E19" s="3">
        <v>44915</v>
      </c>
    </row>
    <row r="20" spans="1:5" ht="18.600000000000001">
      <c r="A20" s="2"/>
      <c r="B20" s="2" t="e">
        <f>+VLOOKUP(Tabla3568[[#This Row],[Code]],Tabla35[#All],2,0)</f>
        <v>#N/A</v>
      </c>
      <c r="C20" s="11"/>
      <c r="D20" s="38"/>
      <c r="E20" s="2"/>
    </row>
    <row r="21" spans="1:5" ht="18.600000000000001">
      <c r="A21" s="2"/>
      <c r="B21" s="2" t="e">
        <f>+VLOOKUP(Tabla3568[[#This Row],[Code]],Tabla35[#All],2,0)</f>
        <v>#N/A</v>
      </c>
      <c r="C21" s="11"/>
      <c r="D21" s="38"/>
      <c r="E21" s="2"/>
    </row>
    <row r="22" spans="1:5" ht="18.600000000000001">
      <c r="A22" s="2"/>
      <c r="B22" s="2" t="e">
        <f>+VLOOKUP(Tabla3568[[#This Row],[Code]],Tabla35[#All],2,0)</f>
        <v>#N/A</v>
      </c>
      <c r="C22" s="11"/>
      <c r="D22" s="38"/>
      <c r="E22" s="2"/>
    </row>
    <row r="23" spans="1:5" ht="18.600000000000001">
      <c r="A23" s="2"/>
      <c r="B23" s="2" t="e">
        <f>+VLOOKUP(Tabla3568[[#This Row],[Code]],Tabla35[#All],2,0)</f>
        <v>#N/A</v>
      </c>
      <c r="C23" s="11"/>
      <c r="D23" s="38"/>
      <c r="E23" s="2"/>
    </row>
    <row r="24" spans="1:5" ht="18.600000000000001">
      <c r="A24" s="2"/>
      <c r="B24" s="2" t="e">
        <f>+VLOOKUP(Tabla3568[[#This Row],[Code]],Tabla35[#All],2,0)</f>
        <v>#N/A</v>
      </c>
      <c r="C24" s="11"/>
      <c r="D24" s="38"/>
      <c r="E24" s="2"/>
    </row>
    <row r="25" spans="1:5" ht="18.600000000000001">
      <c r="A25" s="2"/>
      <c r="B25" s="2" t="e">
        <f>+VLOOKUP(Tabla3568[[#This Row],[Code]],Tabla35[#All],2,0)</f>
        <v>#N/A</v>
      </c>
      <c r="C25" s="11"/>
      <c r="D25" s="38"/>
      <c r="E25" s="2"/>
    </row>
    <row r="26" spans="1:5" ht="18.600000000000001">
      <c r="A26" s="2"/>
      <c r="B26" s="2" t="e">
        <f>+VLOOKUP(Tabla3568[[#This Row],[Code]],Tabla35[#All],2,0)</f>
        <v>#N/A</v>
      </c>
      <c r="C26" s="11"/>
      <c r="D26" s="38"/>
      <c r="E26" s="2"/>
    </row>
    <row r="27" spans="1:5" ht="18.600000000000001">
      <c r="A27" s="2"/>
      <c r="B27" s="2" t="e">
        <f>+VLOOKUP(Tabla3568[[#This Row],[Code]],Tabla35[#All],2,0)</f>
        <v>#N/A</v>
      </c>
      <c r="C27" s="11"/>
      <c r="D27" s="38"/>
      <c r="E27" s="2"/>
    </row>
    <row r="28" spans="1:5" ht="18.600000000000001">
      <c r="A28" s="2"/>
      <c r="B28" s="2" t="e">
        <f>+VLOOKUP(Tabla3568[[#This Row],[Code]],Tabla35[#All],2,0)</f>
        <v>#N/A</v>
      </c>
      <c r="C28" s="11"/>
      <c r="D28" s="38"/>
      <c r="E28" s="2"/>
    </row>
    <row r="29" spans="1:5" ht="18.600000000000001">
      <c r="A29" s="2"/>
      <c r="B29" s="2" t="e">
        <f>+VLOOKUP(Tabla3568[[#This Row],[Code]],Tabla35[#All],2,0)</f>
        <v>#N/A</v>
      </c>
      <c r="C29" s="11"/>
      <c r="D29" s="38"/>
      <c r="E29" s="2"/>
    </row>
    <row r="30" spans="1:5" ht="18.600000000000001">
      <c r="A30" s="2"/>
      <c r="B30" s="2" t="e">
        <f>+VLOOKUP(Tabla3568[[#This Row],[Code]],Tabla35[#All],2,0)</f>
        <v>#N/A</v>
      </c>
      <c r="C30" s="11"/>
      <c r="D30" s="38"/>
      <c r="E30" s="2"/>
    </row>
    <row r="31" spans="1:5" ht="18.600000000000001">
      <c r="A31" s="2"/>
      <c r="B31" s="2" t="e">
        <f>+VLOOKUP(Tabla3568[[#This Row],[Code]],Tabla35[#All],2,0)</f>
        <v>#N/A</v>
      </c>
      <c r="C31" s="11"/>
      <c r="D31" s="38"/>
      <c r="E31" s="2"/>
    </row>
    <row r="32" spans="1:5" ht="18.600000000000001">
      <c r="A32" s="2"/>
      <c r="B32" s="2" t="e">
        <f>+VLOOKUP(Tabla3568[[#This Row],[Code]],Tabla35[#All],2,0)</f>
        <v>#N/A</v>
      </c>
      <c r="C32" s="11"/>
      <c r="D32" s="38"/>
      <c r="E32" s="2"/>
    </row>
    <row r="33" spans="1:5" ht="18.600000000000001">
      <c r="A33" s="2"/>
      <c r="B33" s="2" t="e">
        <f>+VLOOKUP(Tabla3568[[#This Row],[Code]],Tabla35[#All],2,0)</f>
        <v>#N/A</v>
      </c>
      <c r="C33" s="11"/>
      <c r="D33" s="38"/>
      <c r="E33" s="2"/>
    </row>
    <row r="34" spans="1:5" ht="18.600000000000001">
      <c r="A34" s="2"/>
      <c r="B34" s="2" t="e">
        <f>+VLOOKUP(Tabla3568[[#This Row],[Code]],Tabla35[#All],2,0)</f>
        <v>#N/A</v>
      </c>
      <c r="C34" s="11"/>
      <c r="D34" s="38"/>
      <c r="E34" s="2"/>
    </row>
    <row r="35" spans="1:5" ht="18.600000000000001">
      <c r="A35" s="2"/>
      <c r="B35" s="2" t="e">
        <f>+VLOOKUP(Tabla3568[[#This Row],[Code]],Tabla35[#All],2,0)</f>
        <v>#N/A</v>
      </c>
      <c r="C35" s="11"/>
      <c r="D35" s="38"/>
      <c r="E35" s="2"/>
    </row>
    <row r="36" spans="1:5" ht="18.600000000000001">
      <c r="A36" s="2"/>
      <c r="B36" s="2" t="e">
        <f>+VLOOKUP(Tabla3568[[#This Row],[Code]],Tabla35[#All],2,0)</f>
        <v>#N/A</v>
      </c>
      <c r="C36" s="11"/>
      <c r="D36" s="38"/>
      <c r="E36" s="2"/>
    </row>
    <row r="37" spans="1:5" ht="18.600000000000001">
      <c r="A37" s="2"/>
      <c r="B37" s="2" t="e">
        <f>+VLOOKUP(Tabla3568[[#This Row],[Code]],Tabla35[#All],2,0)</f>
        <v>#N/A</v>
      </c>
      <c r="C37" s="11"/>
      <c r="D37" s="38"/>
      <c r="E37" s="2"/>
    </row>
    <row r="38" spans="1:5" ht="18.600000000000001">
      <c r="A38" s="2"/>
      <c r="B38" s="2" t="e">
        <f>+VLOOKUP(Tabla3568[[#This Row],[Code]],Tabla35[#All],2,0)</f>
        <v>#N/A</v>
      </c>
      <c r="C38" s="11"/>
      <c r="D38" s="38"/>
      <c r="E38" s="2"/>
    </row>
    <row r="39" spans="1:5" ht="18.600000000000001">
      <c r="A39" s="2"/>
      <c r="B39" s="2" t="e">
        <f>+VLOOKUP(Tabla3568[[#This Row],[Code]],Tabla35[#All],2,0)</f>
        <v>#N/A</v>
      </c>
      <c r="C39" s="11"/>
      <c r="D39" s="38"/>
      <c r="E39" s="2"/>
    </row>
    <row r="40" spans="1:5" ht="18.600000000000001">
      <c r="A40" s="2"/>
      <c r="B40" s="2" t="e">
        <f>+VLOOKUP(Tabla3568[[#This Row],[Code]],Tabla35[#All],2,0)</f>
        <v>#N/A</v>
      </c>
      <c r="C40" s="11"/>
      <c r="D40" s="38"/>
      <c r="E40" s="2"/>
    </row>
    <row r="41" spans="1:5" ht="18.600000000000001">
      <c r="A41" s="2"/>
      <c r="B41" s="2" t="e">
        <f>+VLOOKUP(Tabla3568[[#This Row],[Code]],Tabla35[#All],2,0)</f>
        <v>#N/A</v>
      </c>
      <c r="C41" s="11"/>
      <c r="D41" s="38"/>
      <c r="E41" s="2"/>
    </row>
    <row r="42" spans="1:5" ht="18.600000000000001">
      <c r="A42" s="2"/>
      <c r="B42" s="2" t="e">
        <f>+VLOOKUP(Tabla3568[[#This Row],[Code]],Tabla35[#All],2,0)</f>
        <v>#N/A</v>
      </c>
      <c r="C42" s="11"/>
      <c r="D42" s="38"/>
      <c r="E42" s="2"/>
    </row>
    <row r="43" spans="1:5" ht="18.600000000000001">
      <c r="A43" s="2"/>
      <c r="B43" s="2" t="e">
        <f>+VLOOKUP(Tabla3568[[#This Row],[Code]],Tabla35[#All],2,0)</f>
        <v>#N/A</v>
      </c>
      <c r="C43" s="11"/>
      <c r="D43" s="38"/>
      <c r="E43" s="2"/>
    </row>
    <row r="44" spans="1:5" ht="18.600000000000001">
      <c r="A44" s="2"/>
      <c r="B44" s="2" t="e">
        <f>+VLOOKUP(Tabla3568[[#This Row],[Code]],Tabla35[#All],2,0)</f>
        <v>#N/A</v>
      </c>
      <c r="C44" s="11"/>
      <c r="D44" s="38"/>
      <c r="E44" s="2"/>
    </row>
    <row r="45" spans="1:5" ht="18.600000000000001">
      <c r="A45" s="2"/>
      <c r="B45" s="2" t="e">
        <f>+VLOOKUP(Tabla3568[[#This Row],[Code]],Tabla35[#All],2,0)</f>
        <v>#N/A</v>
      </c>
      <c r="C45" s="11"/>
      <c r="D45" s="38"/>
      <c r="E45" s="2"/>
    </row>
    <row r="46" spans="1:5" ht="18.600000000000001">
      <c r="A46" s="2"/>
      <c r="B46" s="2" t="e">
        <f>+VLOOKUP(Tabla3568[[#This Row],[Code]],Tabla35[#All],2,0)</f>
        <v>#N/A</v>
      </c>
      <c r="C46" s="11"/>
      <c r="D46" s="38"/>
      <c r="E46" s="2"/>
    </row>
    <row r="47" spans="1:5" ht="18.600000000000001">
      <c r="A47" s="2"/>
      <c r="B47" s="2" t="e">
        <f>+VLOOKUP(Tabla3568[[#This Row],[Code]],Tabla35[#All],2,0)</f>
        <v>#N/A</v>
      </c>
      <c r="C47" s="11"/>
      <c r="D47" s="38"/>
      <c r="E47" s="2"/>
    </row>
    <row r="48" spans="1:5" ht="18.600000000000001">
      <c r="A48" s="2"/>
      <c r="B48" s="2" t="e">
        <f>+VLOOKUP(Tabla3568[[#This Row],[Code]],Tabla35[#All],2,0)</f>
        <v>#N/A</v>
      </c>
      <c r="C48" s="11"/>
      <c r="D48" s="38"/>
      <c r="E48" s="2"/>
    </row>
    <row r="49" spans="1:5" ht="18.600000000000001">
      <c r="A49" s="2"/>
      <c r="B49" s="2" t="e">
        <f>+VLOOKUP(Tabla3568[[#This Row],[Code]],Tabla35[#All],2,0)</f>
        <v>#N/A</v>
      </c>
      <c r="C49" s="11"/>
      <c r="D49" s="38"/>
      <c r="E49" s="2"/>
    </row>
    <row r="50" spans="1:5" ht="18.600000000000001">
      <c r="A50" s="2"/>
      <c r="B50" s="2" t="e">
        <f>+VLOOKUP(Tabla3568[[#This Row],[Code]],Tabla35[#All],2,0)</f>
        <v>#N/A</v>
      </c>
      <c r="C50" s="11"/>
      <c r="D50" s="38"/>
      <c r="E50" s="2"/>
    </row>
    <row r="51" spans="1:5" ht="18.600000000000001">
      <c r="A51" s="2"/>
      <c r="B51" s="2" t="e">
        <f>+VLOOKUP(Tabla3568[[#This Row],[Code]],Tabla35[#All],2,0)</f>
        <v>#N/A</v>
      </c>
      <c r="C51" s="11"/>
      <c r="D51" s="38"/>
      <c r="E51" s="2"/>
    </row>
    <row r="52" spans="1:5" ht="18.600000000000001">
      <c r="A52" s="2"/>
      <c r="B52" s="2" t="e">
        <f>+VLOOKUP(Tabla3568[[#This Row],[Code]],Tabla35[#All],2,0)</f>
        <v>#N/A</v>
      </c>
      <c r="C52" s="11"/>
      <c r="D52" s="38"/>
      <c r="E52" s="2"/>
    </row>
    <row r="53" spans="1:5" ht="18.600000000000001">
      <c r="A53" s="2"/>
      <c r="B53" s="2" t="e">
        <f>+VLOOKUP(Tabla3568[[#This Row],[Code]],Tabla35[#All],2,0)</f>
        <v>#N/A</v>
      </c>
      <c r="C53" s="11"/>
      <c r="D53" s="38"/>
      <c r="E53" s="2"/>
    </row>
    <row r="54" spans="1:5" ht="18.600000000000001">
      <c r="A54" s="2"/>
      <c r="B54" s="2" t="e">
        <f>+VLOOKUP(Tabla3568[[#This Row],[Code]],Tabla35[#All],2,0)</f>
        <v>#N/A</v>
      </c>
      <c r="C54" s="11"/>
      <c r="D54" s="38"/>
      <c r="E54" s="2"/>
    </row>
    <row r="55" spans="1:5" ht="18.600000000000001">
      <c r="A55" s="2"/>
      <c r="B55" s="2" t="e">
        <f>+VLOOKUP(Tabla3568[[#This Row],[Code]],Tabla35[#All],2,0)</f>
        <v>#N/A</v>
      </c>
      <c r="C55" s="11"/>
      <c r="D55" s="38"/>
      <c r="E55" s="2"/>
    </row>
    <row r="56" spans="1:5" ht="18.600000000000001">
      <c r="A56" s="2"/>
      <c r="B56" s="2" t="e">
        <f>+VLOOKUP(Tabla3568[[#This Row],[Code]],Tabla35[#All],2,0)</f>
        <v>#N/A</v>
      </c>
      <c r="C56" s="11"/>
      <c r="D56" s="38"/>
      <c r="E56" s="2"/>
    </row>
    <row r="57" spans="1:5" ht="18.600000000000001">
      <c r="A57" s="2"/>
      <c r="B57" s="2" t="e">
        <f>+VLOOKUP(Tabla3568[[#This Row],[Code]],Tabla35[#All],2,0)</f>
        <v>#N/A</v>
      </c>
      <c r="C57" s="11"/>
      <c r="D57" s="38"/>
      <c r="E57" s="2"/>
    </row>
    <row r="58" spans="1:5" ht="18.600000000000001">
      <c r="A58" s="2"/>
      <c r="B58" s="2" t="e">
        <f>+VLOOKUP(Tabla3568[[#This Row],[Code]],Tabla35[#All],2,0)</f>
        <v>#N/A</v>
      </c>
      <c r="C58" s="11"/>
      <c r="D58" s="38"/>
      <c r="E58" s="2"/>
    </row>
    <row r="59" spans="1:5" ht="18.600000000000001">
      <c r="A59" s="2"/>
      <c r="B59" s="2" t="e">
        <f>+VLOOKUP(Tabla3568[[#This Row],[Code]],Tabla35[#All],2,0)</f>
        <v>#N/A</v>
      </c>
      <c r="C59" s="11"/>
      <c r="D59" s="38"/>
      <c r="E59" s="2"/>
    </row>
    <row r="60" spans="1:5" ht="18.600000000000001">
      <c r="A60" s="2"/>
      <c r="B60" s="2" t="e">
        <f>+VLOOKUP(Tabla3568[[#This Row],[Code]],Tabla35[#All],2,0)</f>
        <v>#N/A</v>
      </c>
      <c r="C60" s="11"/>
      <c r="D60" s="38"/>
      <c r="E60" s="2"/>
    </row>
    <row r="61" spans="1:5" ht="18.600000000000001">
      <c r="A61" s="2"/>
      <c r="B61" s="2" t="e">
        <f>+VLOOKUP(Tabla3568[[#This Row],[Code]],Tabla35[#All],2,0)</f>
        <v>#N/A</v>
      </c>
      <c r="C61" s="11"/>
      <c r="D61" s="38"/>
      <c r="E61" s="2"/>
    </row>
    <row r="62" spans="1:5" ht="18.600000000000001">
      <c r="A62" s="2"/>
      <c r="B62" s="2" t="e">
        <f>+VLOOKUP(Tabla3568[[#This Row],[Code]],Tabla35[#All],2,0)</f>
        <v>#N/A</v>
      </c>
      <c r="C62" s="11"/>
      <c r="D62" s="38"/>
      <c r="E62" s="2"/>
    </row>
    <row r="63" spans="1:5" ht="18.600000000000001">
      <c r="A63" s="2"/>
      <c r="B63" s="2" t="e">
        <f>+VLOOKUP(Tabla3568[[#This Row],[Code]],Tabla35[#All],2,0)</f>
        <v>#N/A</v>
      </c>
      <c r="C63" s="11"/>
      <c r="D63" s="38"/>
      <c r="E63" s="2"/>
    </row>
    <row r="64" spans="1:5" ht="18.600000000000001">
      <c r="A64" s="2"/>
      <c r="B64" s="2" t="e">
        <f>+VLOOKUP(Tabla3568[[#This Row],[Code]],Tabla35[#All],2,0)</f>
        <v>#N/A</v>
      </c>
      <c r="C64" s="11"/>
      <c r="D64" s="38"/>
      <c r="E64" s="2"/>
    </row>
    <row r="65" spans="1:5" ht="18.600000000000001">
      <c r="A65" s="2"/>
      <c r="B65" s="2" t="e">
        <f>+VLOOKUP(Tabla3568[[#This Row],[Code]],Tabla35[#All],2,0)</f>
        <v>#N/A</v>
      </c>
      <c r="C65" s="11"/>
      <c r="D65" s="38"/>
      <c r="E65" s="2"/>
    </row>
    <row r="66" spans="1:5" ht="18.600000000000001">
      <c r="A66" s="2"/>
      <c r="B66" s="2" t="e">
        <f>+VLOOKUP(Tabla3568[[#This Row],[Code]],Tabla35[#All],2,0)</f>
        <v>#N/A</v>
      </c>
      <c r="C66" s="11"/>
      <c r="D66" s="38"/>
      <c r="E66" s="2"/>
    </row>
    <row r="67" spans="1:5" ht="18.600000000000001">
      <c r="A67" s="2"/>
      <c r="B67" s="2" t="e">
        <f>+VLOOKUP(Tabla3568[[#This Row],[Code]],Tabla35[#All],2,0)</f>
        <v>#N/A</v>
      </c>
      <c r="C67" s="11"/>
      <c r="D67" s="38"/>
      <c r="E67" s="2"/>
    </row>
    <row r="68" spans="1:5" ht="18.600000000000001">
      <c r="A68" s="2"/>
      <c r="B68" s="2" t="e">
        <f>+VLOOKUP(Tabla3568[[#This Row],[Code]],Tabla35[#All],2,0)</f>
        <v>#N/A</v>
      </c>
      <c r="C68" s="11"/>
      <c r="D68" s="38"/>
      <c r="E68" s="2"/>
    </row>
    <row r="69" spans="1:5" ht="18.600000000000001">
      <c r="A69" s="2"/>
      <c r="B69" s="2" t="e">
        <f>+VLOOKUP(Tabla3568[[#This Row],[Code]],Tabla35[#All],2,0)</f>
        <v>#N/A</v>
      </c>
      <c r="C69" s="11"/>
      <c r="D69" s="38"/>
      <c r="E69" s="2"/>
    </row>
    <row r="70" spans="1:5" ht="18.600000000000001">
      <c r="A70" s="2"/>
      <c r="B70" s="2" t="e">
        <f>+VLOOKUP(Tabla3568[[#This Row],[Code]],Tabla35[#All],2,0)</f>
        <v>#N/A</v>
      </c>
      <c r="C70" s="11"/>
      <c r="D70" s="38"/>
      <c r="E70" s="2"/>
    </row>
    <row r="71" spans="1:5" ht="18.600000000000001">
      <c r="A71" s="2"/>
      <c r="B71" s="2" t="e">
        <f>+VLOOKUP(Tabla3568[[#This Row],[Code]],Tabla35[#All],2,0)</f>
        <v>#N/A</v>
      </c>
      <c r="C71" s="11"/>
      <c r="D71" s="38"/>
      <c r="E71" s="2"/>
    </row>
    <row r="72" spans="1:5" ht="18.600000000000001">
      <c r="A72" s="2"/>
      <c r="B72" s="2" t="e">
        <f>+VLOOKUP(Tabla3568[[#This Row],[Code]],Tabla35[#All],2,0)</f>
        <v>#N/A</v>
      </c>
      <c r="C72" s="11"/>
      <c r="D72" s="38"/>
      <c r="E72" s="2"/>
    </row>
    <row r="73" spans="1:5" ht="18.600000000000001">
      <c r="A73" s="2"/>
      <c r="B73" s="2" t="e">
        <f>+VLOOKUP(Tabla3568[[#This Row],[Code]],Tabla35[#All],2,0)</f>
        <v>#N/A</v>
      </c>
      <c r="C73" s="11"/>
      <c r="D73" s="38"/>
      <c r="E73" s="2"/>
    </row>
    <row r="74" spans="1:5" ht="18.600000000000001">
      <c r="A74" s="2"/>
      <c r="B74" s="2" t="e">
        <f>+VLOOKUP(Tabla3568[[#This Row],[Code]],Tabla35[#All],2,0)</f>
        <v>#N/A</v>
      </c>
      <c r="C74" s="11"/>
      <c r="D74" s="38"/>
      <c r="E74" s="2"/>
    </row>
    <row r="75" spans="1:5" ht="18.600000000000001">
      <c r="A75" s="2"/>
      <c r="B75" s="2" t="e">
        <f>+VLOOKUP(Tabla3568[[#This Row],[Code]],Tabla35[#All],2,0)</f>
        <v>#N/A</v>
      </c>
      <c r="C75" s="11"/>
      <c r="D75" s="38"/>
      <c r="E75" s="2"/>
    </row>
    <row r="76" spans="1:5" ht="18.600000000000001">
      <c r="A76" s="2"/>
      <c r="B76" s="2" t="e">
        <f>+VLOOKUP(Tabla3568[[#This Row],[Code]],Tabla35[#All],2,0)</f>
        <v>#N/A</v>
      </c>
      <c r="C76" s="11"/>
      <c r="D76" s="38"/>
      <c r="E76" s="2"/>
    </row>
    <row r="77" spans="1:5" ht="18.600000000000001">
      <c r="A77" s="2"/>
      <c r="B77" s="2" t="e">
        <f>+VLOOKUP(Tabla3568[[#This Row],[Code]],Tabla35[#All],2,0)</f>
        <v>#N/A</v>
      </c>
      <c r="C77" s="11"/>
      <c r="D77" s="38"/>
      <c r="E77" s="2"/>
    </row>
    <row r="78" spans="1:5" ht="18.600000000000001">
      <c r="A78" s="2"/>
      <c r="B78" s="2" t="e">
        <f>+VLOOKUP(Tabla3568[[#This Row],[Code]],Tabla35[#All],2,0)</f>
        <v>#N/A</v>
      </c>
      <c r="C78" s="11"/>
      <c r="D78" s="38"/>
      <c r="E78" s="2"/>
    </row>
    <row r="79" spans="1:5" ht="18.600000000000001">
      <c r="A79" s="2"/>
      <c r="B79" s="2" t="e">
        <f>+VLOOKUP(Tabla3568[[#This Row],[Code]],Tabla35[#All],2,0)</f>
        <v>#N/A</v>
      </c>
      <c r="C79" s="11"/>
      <c r="D79" s="38"/>
      <c r="E79" s="2"/>
    </row>
    <row r="80" spans="1:5" ht="18.600000000000001">
      <c r="A80" s="2"/>
      <c r="B80" s="2" t="e">
        <f>+VLOOKUP(Tabla3568[[#This Row],[Code]],Tabla35[#All],2,0)</f>
        <v>#N/A</v>
      </c>
      <c r="C80" s="11"/>
      <c r="D80" s="38"/>
      <c r="E80" s="2"/>
    </row>
    <row r="81" spans="1:5" ht="18.600000000000001">
      <c r="A81" s="2"/>
      <c r="B81" s="2" t="e">
        <f>+VLOOKUP(Tabla3568[[#This Row],[Code]],Tabla35[#All],2,0)</f>
        <v>#N/A</v>
      </c>
      <c r="C81" s="11"/>
      <c r="D81" s="38"/>
      <c r="E81" s="2"/>
    </row>
    <row r="82" spans="1:5" ht="18.600000000000001">
      <c r="A82" s="2"/>
      <c r="B82" s="2" t="e">
        <f>+VLOOKUP(Tabla3568[[#This Row],[Code]],Tabla35[#All],2,0)</f>
        <v>#N/A</v>
      </c>
      <c r="C82" s="11"/>
      <c r="D82" s="38"/>
      <c r="E82" s="2"/>
    </row>
    <row r="83" spans="1:5" ht="18.600000000000001">
      <c r="A83" s="2"/>
      <c r="B83" s="2" t="e">
        <f>+VLOOKUP(Tabla3568[[#This Row],[Code]],Tabla35[#All],2,0)</f>
        <v>#N/A</v>
      </c>
      <c r="C83" s="11"/>
      <c r="D83" s="38"/>
      <c r="E83" s="2"/>
    </row>
    <row r="84" spans="1:5" ht="18.600000000000001">
      <c r="A84" s="2"/>
      <c r="B84" s="2" t="e">
        <f>+VLOOKUP(Tabla3568[[#This Row],[Code]],Tabla35[#All],2,0)</f>
        <v>#N/A</v>
      </c>
      <c r="C84" s="11"/>
      <c r="D84" s="38"/>
      <c r="E84" s="2"/>
    </row>
    <row r="85" spans="1:5" ht="18.600000000000001">
      <c r="A85" s="2"/>
      <c r="B85" s="2" t="e">
        <f>+VLOOKUP(Tabla3568[[#This Row],[Code]],Tabla35[#All],2,0)</f>
        <v>#N/A</v>
      </c>
      <c r="C85" s="11"/>
      <c r="D85" s="38"/>
      <c r="E85" s="2"/>
    </row>
    <row r="86" spans="1:5" ht="18.600000000000001">
      <c r="A86" s="2"/>
      <c r="B86" s="2" t="e">
        <f>+VLOOKUP(Tabla3568[[#This Row],[Code]],Tabla35[#All],2,0)</f>
        <v>#N/A</v>
      </c>
      <c r="C86" s="11"/>
      <c r="D86" s="38"/>
      <c r="E86" s="2"/>
    </row>
    <row r="87" spans="1:5" ht="18.600000000000001">
      <c r="A87" s="2"/>
      <c r="B87" s="2" t="e">
        <f>+VLOOKUP(Tabla3568[[#This Row],[Code]],Tabla35[#All],2,0)</f>
        <v>#N/A</v>
      </c>
      <c r="C87" s="11"/>
      <c r="D87" s="38"/>
      <c r="E87" s="2"/>
    </row>
    <row r="88" spans="1:5" ht="18.600000000000001">
      <c r="A88" s="2"/>
      <c r="B88" s="2" t="e">
        <f>+VLOOKUP(Tabla3568[[#This Row],[Code]],Tabla35[#All],2,0)</f>
        <v>#N/A</v>
      </c>
      <c r="C88" s="11"/>
      <c r="D88" s="38"/>
      <c r="E88" s="2"/>
    </row>
    <row r="89" spans="1:5" ht="18.600000000000001">
      <c r="A89" s="2"/>
      <c r="B89" s="2" t="e">
        <f>+VLOOKUP(Tabla3568[[#This Row],[Code]],Tabla35[#All],2,0)</f>
        <v>#N/A</v>
      </c>
      <c r="C89" s="11"/>
      <c r="D89" s="38"/>
      <c r="E89" s="2"/>
    </row>
    <row r="90" spans="1:5" ht="18.600000000000001">
      <c r="A90" s="2"/>
      <c r="B90" s="2" t="e">
        <f>+VLOOKUP(Tabla3568[[#This Row],[Code]],Tabla35[#All],2,0)</f>
        <v>#N/A</v>
      </c>
      <c r="C90" s="11"/>
      <c r="D90" s="38"/>
      <c r="E90" s="2"/>
    </row>
    <row r="91" spans="1:5" ht="18.600000000000001">
      <c r="A91" s="2"/>
      <c r="B91" s="2" t="e">
        <f>+VLOOKUP(Tabla3568[[#This Row],[Code]],Tabla35[#All],2,0)</f>
        <v>#N/A</v>
      </c>
      <c r="C91" s="11"/>
      <c r="D91" s="38"/>
      <c r="E91" s="2"/>
    </row>
    <row r="92" spans="1:5" ht="18.600000000000001">
      <c r="A92" s="2"/>
      <c r="B92" s="2" t="e">
        <f>+VLOOKUP(Tabla3568[[#This Row],[Code]],Tabla35[#All],2,0)</f>
        <v>#N/A</v>
      </c>
      <c r="C92" s="11"/>
      <c r="D92" s="38"/>
      <c r="E92" s="2"/>
    </row>
    <row r="93" spans="1:5" ht="18.600000000000001">
      <c r="A93" s="2"/>
      <c r="B93" s="2" t="e">
        <f>+VLOOKUP(Tabla3568[[#This Row],[Code]],Tabla35[#All],2,0)</f>
        <v>#N/A</v>
      </c>
      <c r="C93" s="11"/>
      <c r="D93" s="38"/>
      <c r="E93" s="2"/>
    </row>
    <row r="94" spans="1:5" ht="18.600000000000001">
      <c r="A94" s="2"/>
      <c r="B94" s="2" t="e">
        <f>+VLOOKUP(Tabla3568[[#This Row],[Code]],Tabla35[#All],2,0)</f>
        <v>#N/A</v>
      </c>
      <c r="C94" s="11"/>
      <c r="D94" s="38"/>
      <c r="E94" s="2"/>
    </row>
    <row r="95" spans="1:5" ht="18.600000000000001">
      <c r="A95" s="2"/>
      <c r="B95" s="2" t="e">
        <f>+VLOOKUP(Tabla3568[[#This Row],[Code]],Tabla35[#All],2,0)</f>
        <v>#N/A</v>
      </c>
      <c r="C95" s="11"/>
      <c r="D95" s="38"/>
      <c r="E95" s="2"/>
    </row>
    <row r="96" spans="1:5" ht="18.600000000000001">
      <c r="A96" s="2"/>
      <c r="B96" s="2" t="e">
        <f>+VLOOKUP(Tabla3568[[#This Row],[Code]],Tabla35[#All],2,0)</f>
        <v>#N/A</v>
      </c>
      <c r="C96" s="11"/>
      <c r="D96" s="38"/>
      <c r="E96" s="2"/>
    </row>
    <row r="97" spans="1:5" ht="18.600000000000001">
      <c r="A97" s="2"/>
      <c r="B97" s="2" t="e">
        <f>+VLOOKUP(Tabla3568[[#This Row],[Code]],Tabla35[#All],2,0)</f>
        <v>#N/A</v>
      </c>
      <c r="C97" s="11"/>
      <c r="D97" s="38"/>
      <c r="E97" s="2"/>
    </row>
    <row r="98" spans="1:5" ht="18.600000000000001">
      <c r="A98" s="2"/>
      <c r="B98" s="2" t="e">
        <f>+VLOOKUP(Tabla3568[[#This Row],[Code]],Tabla35[#All],2,0)</f>
        <v>#N/A</v>
      </c>
      <c r="C98" s="11"/>
      <c r="D98" s="38"/>
      <c r="E98" s="2"/>
    </row>
    <row r="99" spans="1:5" ht="18.600000000000001">
      <c r="A99" s="2"/>
      <c r="B99" s="2" t="e">
        <f>+VLOOKUP(Tabla3568[[#This Row],[Code]],Tabla35[#All],2,0)</f>
        <v>#N/A</v>
      </c>
      <c r="C99" s="11"/>
      <c r="D99" s="38"/>
      <c r="E99" s="2"/>
    </row>
    <row r="100" spans="1:5" ht="18.600000000000001">
      <c r="A100" s="2"/>
      <c r="B100" s="2" t="e">
        <f>+VLOOKUP(Tabla3568[[#This Row],[Code]],Tabla35[#All],2,0)</f>
        <v>#N/A</v>
      </c>
      <c r="C100" s="11"/>
      <c r="D100" s="38"/>
      <c r="E100" s="2"/>
    </row>
    <row r="101" spans="1:5" ht="18.600000000000001">
      <c r="A101" s="2"/>
      <c r="B101" s="2" t="e">
        <f>+VLOOKUP(Tabla3568[[#This Row],[Code]],Tabla35[#All],2,0)</f>
        <v>#N/A</v>
      </c>
      <c r="C101" s="11"/>
      <c r="D101" s="38"/>
      <c r="E101" s="2"/>
    </row>
    <row r="102" spans="1:5" ht="18.600000000000001">
      <c r="A102" s="2"/>
      <c r="B102" s="2" t="e">
        <f>+VLOOKUP(Tabla3568[[#This Row],[Code]],Tabla35[#All],2,0)</f>
        <v>#N/A</v>
      </c>
      <c r="C102" s="11"/>
      <c r="D102" s="38"/>
      <c r="E102" s="2"/>
    </row>
    <row r="103" spans="1:5" ht="18.600000000000001">
      <c r="A103" s="2"/>
      <c r="B103" s="2" t="e">
        <f>+VLOOKUP(Tabla3568[[#This Row],[Code]],Tabla35[#All],2,0)</f>
        <v>#N/A</v>
      </c>
      <c r="C103" s="11"/>
      <c r="D103" s="38"/>
      <c r="E103" s="2"/>
    </row>
    <row r="104" spans="1:5" ht="18.600000000000001">
      <c r="A104" s="2"/>
      <c r="B104" s="2" t="e">
        <f>+VLOOKUP(Tabla3568[[#This Row],[Code]],Tabla35[#All],2,0)</f>
        <v>#N/A</v>
      </c>
      <c r="C104" s="11"/>
      <c r="D104" s="38"/>
      <c r="E104" s="2"/>
    </row>
    <row r="105" spans="1:5" ht="18.600000000000001">
      <c r="A105" s="2"/>
      <c r="B105" s="2" t="e">
        <f>+VLOOKUP(Tabla3568[[#This Row],[Code]],Tabla35[#All],2,0)</f>
        <v>#N/A</v>
      </c>
      <c r="C105" s="11"/>
      <c r="D105" s="38"/>
      <c r="E105" s="2"/>
    </row>
    <row r="106" spans="1:5" ht="18.600000000000001">
      <c r="A106" s="2"/>
      <c r="B106" s="2" t="e">
        <f>+VLOOKUP(Tabla3568[[#This Row],[Code]],Tabla35[#All],2,0)</f>
        <v>#N/A</v>
      </c>
      <c r="C106" s="11"/>
      <c r="D106" s="38"/>
      <c r="E106" s="2"/>
    </row>
    <row r="107" spans="1:5" ht="18.600000000000001">
      <c r="A107" s="2"/>
      <c r="B107" s="2" t="e">
        <f>+VLOOKUP(Tabla3568[[#This Row],[Code]],Tabla35[#All],2,0)</f>
        <v>#N/A</v>
      </c>
      <c r="C107" s="11"/>
      <c r="D107" s="38"/>
      <c r="E107" s="2"/>
    </row>
    <row r="108" spans="1:5" ht="18.600000000000001">
      <c r="A108" s="2"/>
      <c r="B108" s="2" t="e">
        <f>+VLOOKUP(Tabla3568[[#This Row],[Code]],Tabla35[#All],2,0)</f>
        <v>#N/A</v>
      </c>
      <c r="C108" s="11"/>
      <c r="D108" s="38"/>
      <c r="E108" s="2"/>
    </row>
    <row r="109" spans="1:5" ht="18.600000000000001">
      <c r="A109" s="2"/>
      <c r="B109" s="2" t="e">
        <f>+VLOOKUP(Tabla3568[[#This Row],[Code]],Tabla35[#All],2,0)</f>
        <v>#N/A</v>
      </c>
      <c r="C109" s="11"/>
      <c r="D109" s="38"/>
      <c r="E109" s="2"/>
    </row>
    <row r="110" spans="1:5" ht="18.600000000000001">
      <c r="A110" s="2"/>
      <c r="B110" s="2" t="e">
        <f>+VLOOKUP(Tabla3568[[#This Row],[Code]],Tabla35[#All],2,0)</f>
        <v>#N/A</v>
      </c>
      <c r="C110" s="11"/>
      <c r="D110" s="38"/>
      <c r="E110" s="2"/>
    </row>
    <row r="111" spans="1:5" ht="18.600000000000001">
      <c r="A111" s="2"/>
      <c r="B111" s="2" t="e">
        <f>+VLOOKUP(Tabla3568[[#This Row],[Code]],Tabla35[#All],2,0)</f>
        <v>#N/A</v>
      </c>
      <c r="C111" s="11"/>
      <c r="D111" s="38"/>
      <c r="E111" s="2"/>
    </row>
    <row r="112" spans="1:5" ht="18.600000000000001">
      <c r="A112" s="2"/>
      <c r="B112" s="2" t="e">
        <f>+VLOOKUP(Tabla3568[[#This Row],[Code]],Tabla35[#All],2,0)</f>
        <v>#N/A</v>
      </c>
      <c r="C112" s="11"/>
      <c r="D112" s="38"/>
      <c r="E112" s="2"/>
    </row>
    <row r="113" spans="1:5" ht="18.600000000000001">
      <c r="A113" s="2"/>
      <c r="B113" s="2" t="e">
        <f>+VLOOKUP(Tabla3568[[#This Row],[Code]],Tabla35[#All],2,0)</f>
        <v>#N/A</v>
      </c>
      <c r="C113" s="11"/>
      <c r="D113" s="38"/>
      <c r="E113" s="2"/>
    </row>
    <row r="114" spans="1:5" ht="18.600000000000001">
      <c r="A114" s="2"/>
      <c r="B114" s="2" t="e">
        <f>+VLOOKUP(Tabla3568[[#This Row],[Code]],Tabla35[#All],2,0)</f>
        <v>#N/A</v>
      </c>
      <c r="C114" s="11"/>
      <c r="D114" s="38"/>
      <c r="E114" s="2"/>
    </row>
    <row r="115" spans="1:5" ht="18.600000000000001">
      <c r="A115" s="2"/>
      <c r="B115" s="2" t="e">
        <f>+VLOOKUP(Tabla3568[[#This Row],[Code]],Tabla35[#All],2,0)</f>
        <v>#N/A</v>
      </c>
      <c r="C115" s="11"/>
      <c r="D115" s="38"/>
      <c r="E115" s="2"/>
    </row>
    <row r="116" spans="1:5" ht="18.600000000000001">
      <c r="A116" s="2"/>
      <c r="B116" s="2" t="e">
        <f>+VLOOKUP(Tabla3568[[#This Row],[Code]],Tabla35[#All],2,0)</f>
        <v>#N/A</v>
      </c>
      <c r="C116" s="11"/>
      <c r="D116" s="38"/>
      <c r="E116" s="2"/>
    </row>
    <row r="117" spans="1:5" ht="18.600000000000001">
      <c r="A117" s="2"/>
      <c r="B117" s="2" t="e">
        <f>+VLOOKUP(Tabla3568[[#This Row],[Code]],Tabla35[#All],2,0)</f>
        <v>#N/A</v>
      </c>
      <c r="C117" s="11"/>
      <c r="D117" s="38"/>
      <c r="E117" s="2"/>
    </row>
    <row r="118" spans="1:5" ht="18.600000000000001">
      <c r="A118" s="2"/>
      <c r="B118" s="2" t="e">
        <f>+VLOOKUP(Tabla3568[[#This Row],[Code]],Tabla35[#All],2,0)</f>
        <v>#N/A</v>
      </c>
      <c r="C118" s="11"/>
      <c r="D118" s="38"/>
      <c r="E118" s="2"/>
    </row>
    <row r="119" spans="1:5" ht="18.600000000000001">
      <c r="A119" s="2"/>
      <c r="B119" s="2" t="e">
        <f>+VLOOKUP(Tabla3568[[#This Row],[Code]],Tabla35[#All],2,0)</f>
        <v>#N/A</v>
      </c>
      <c r="C119" s="11"/>
      <c r="D119" s="38"/>
      <c r="E119" s="2"/>
    </row>
    <row r="120" spans="1:5" ht="18.600000000000001">
      <c r="A120" s="2"/>
      <c r="B120" s="2" t="e">
        <f>+VLOOKUP(Tabla3568[[#This Row],[Code]],Tabla35[#All],2,0)</f>
        <v>#N/A</v>
      </c>
      <c r="C120" s="11"/>
      <c r="D120" s="38"/>
      <c r="E120" s="2"/>
    </row>
    <row r="121" spans="1:5" ht="18.600000000000001">
      <c r="A121" s="2"/>
      <c r="B121" s="2" t="e">
        <f>+VLOOKUP(Tabla3568[[#This Row],[Code]],Tabla35[#All],2,0)</f>
        <v>#N/A</v>
      </c>
      <c r="C121" s="11"/>
      <c r="D121" s="38"/>
      <c r="E121" s="2"/>
    </row>
    <row r="122" spans="1:5" ht="18.600000000000001">
      <c r="A122" s="2"/>
      <c r="B122" s="2" t="e">
        <f>+VLOOKUP(Tabla3568[[#This Row],[Code]],Tabla35[#All],2,0)</f>
        <v>#N/A</v>
      </c>
      <c r="C122" s="11"/>
      <c r="D122" s="38"/>
      <c r="E122" s="2"/>
    </row>
    <row r="123" spans="1:5" ht="18.600000000000001">
      <c r="A123" s="2"/>
      <c r="B123" s="2" t="e">
        <f>+VLOOKUP(Tabla3568[[#This Row],[Code]],Tabla35[#All],2,0)</f>
        <v>#N/A</v>
      </c>
      <c r="C123" s="11"/>
      <c r="D123" s="38"/>
      <c r="E123" s="2"/>
    </row>
    <row r="124" spans="1:5" ht="18.600000000000001">
      <c r="A124" s="2"/>
      <c r="B124" s="2" t="e">
        <f>+VLOOKUP(Tabla3568[[#This Row],[Code]],Tabla35[#All],2,0)</f>
        <v>#N/A</v>
      </c>
      <c r="C124" s="11"/>
      <c r="D124" s="38"/>
      <c r="E124" s="2"/>
    </row>
    <row r="125" spans="1:5" ht="18.600000000000001">
      <c r="A125" s="2"/>
      <c r="B125" s="2" t="e">
        <f>+VLOOKUP(Tabla3568[[#This Row],[Code]],Tabla35[#All],2,0)</f>
        <v>#N/A</v>
      </c>
      <c r="C125" s="11"/>
      <c r="D125" s="38"/>
      <c r="E125" s="2"/>
    </row>
    <row r="126" spans="1:5" ht="18.600000000000001">
      <c r="A126" s="2"/>
      <c r="B126" s="2" t="e">
        <f>+VLOOKUP(Tabla3568[[#This Row],[Code]],Tabla35[#All],2,0)</f>
        <v>#N/A</v>
      </c>
      <c r="C126" s="11"/>
      <c r="D126" s="38"/>
      <c r="E126" s="2"/>
    </row>
    <row r="127" spans="1:5" ht="18.600000000000001">
      <c r="A127" s="2"/>
      <c r="B127" s="2" t="e">
        <f>+VLOOKUP(Tabla3568[[#This Row],[Code]],Tabla35[#All],2,0)</f>
        <v>#N/A</v>
      </c>
      <c r="C127" s="11"/>
      <c r="D127" s="38"/>
      <c r="E127" s="2"/>
    </row>
    <row r="128" spans="1:5" ht="18.600000000000001">
      <c r="A128" s="2"/>
      <c r="B128" s="2" t="e">
        <f>+VLOOKUP(Tabla3568[[#This Row],[Code]],Tabla35[#All],2,0)</f>
        <v>#N/A</v>
      </c>
      <c r="C128" s="11"/>
      <c r="D128" s="38"/>
      <c r="E128" s="2"/>
    </row>
    <row r="129" spans="1:5" ht="18.600000000000001">
      <c r="A129" s="2"/>
      <c r="B129" s="2" t="e">
        <f>+VLOOKUP(Tabla3568[[#This Row],[Code]],Tabla35[#All],2,0)</f>
        <v>#N/A</v>
      </c>
      <c r="C129" s="11"/>
      <c r="D129" s="38"/>
      <c r="E129" s="2"/>
    </row>
    <row r="130" spans="1:5" ht="18.600000000000001">
      <c r="A130" s="2"/>
      <c r="B130" s="2" t="e">
        <f>+VLOOKUP(Tabla3568[[#This Row],[Code]],Tabla35[#All],2,0)</f>
        <v>#N/A</v>
      </c>
      <c r="C130" s="11"/>
      <c r="D130" s="38"/>
      <c r="E130" s="2"/>
    </row>
    <row r="131" spans="1:5" ht="18.600000000000001">
      <c r="A131" s="2"/>
      <c r="B131" s="2" t="e">
        <f>+VLOOKUP(Tabla3568[[#This Row],[Code]],Tabla35[#All],2,0)</f>
        <v>#N/A</v>
      </c>
      <c r="C131" s="11"/>
      <c r="D131" s="38"/>
      <c r="E131" s="2"/>
    </row>
    <row r="132" spans="1:5" ht="18.600000000000001">
      <c r="A132" s="2"/>
      <c r="B132" s="2" t="e">
        <f>+VLOOKUP(Tabla3568[[#This Row],[Code]],Tabla35[#All],2,0)</f>
        <v>#N/A</v>
      </c>
      <c r="C132" s="11"/>
      <c r="D132" s="38"/>
      <c r="E132" s="2"/>
    </row>
    <row r="133" spans="1:5" ht="18.600000000000001">
      <c r="A133" s="2"/>
      <c r="B133" s="2" t="e">
        <f>+VLOOKUP(Tabla3568[[#This Row],[Code]],Tabla35[#All],2,0)</f>
        <v>#N/A</v>
      </c>
      <c r="C133" s="11"/>
      <c r="D133" s="38"/>
      <c r="E133" s="2"/>
    </row>
    <row r="134" spans="1:5" ht="18.600000000000001">
      <c r="A134" s="2"/>
      <c r="B134" s="2" t="e">
        <f>+VLOOKUP(Tabla3568[[#This Row],[Code]],Tabla35[#All],2,0)</f>
        <v>#N/A</v>
      </c>
      <c r="C134" s="11"/>
      <c r="D134" s="38"/>
      <c r="E134" s="2"/>
    </row>
    <row r="135" spans="1:5" ht="18.600000000000001">
      <c r="A135" s="2"/>
      <c r="B135" s="2" t="e">
        <f>+VLOOKUP(Tabla3568[[#This Row],[Code]],Tabla35[#All],2,0)</f>
        <v>#N/A</v>
      </c>
      <c r="C135" s="11"/>
      <c r="D135" s="38"/>
      <c r="E135" s="2"/>
    </row>
    <row r="136" spans="1:5" ht="18.600000000000001">
      <c r="A136" s="2"/>
      <c r="B136" s="2" t="e">
        <f>+VLOOKUP(Tabla3568[[#This Row],[Code]],Tabla35[#All],2,0)</f>
        <v>#N/A</v>
      </c>
      <c r="C136" s="11"/>
      <c r="D136" s="38"/>
      <c r="E136" s="2"/>
    </row>
    <row r="137" spans="1:5" ht="18.600000000000001">
      <c r="A137" s="2"/>
      <c r="B137" s="2" t="e">
        <f>+VLOOKUP(Tabla3568[[#This Row],[Code]],Tabla35[#All],2,0)</f>
        <v>#N/A</v>
      </c>
      <c r="C137" s="11"/>
      <c r="D137" s="38"/>
      <c r="E137" s="2"/>
    </row>
    <row r="138" spans="1:5" ht="18.600000000000001">
      <c r="A138" s="2"/>
      <c r="B138" s="2" t="e">
        <f>+VLOOKUP(Tabla3568[[#This Row],[Code]],Tabla35[#All],2,0)</f>
        <v>#N/A</v>
      </c>
      <c r="C138" s="11"/>
      <c r="D138" s="38"/>
      <c r="E138" s="2"/>
    </row>
    <row r="139" spans="1:5" ht="18.600000000000001">
      <c r="A139" s="2"/>
      <c r="B139" s="2" t="e">
        <f>+VLOOKUP(Tabla3568[[#This Row],[Code]],Tabla35[#All],2,0)</f>
        <v>#N/A</v>
      </c>
      <c r="C139" s="11"/>
      <c r="D139" s="38"/>
      <c r="E139" s="2"/>
    </row>
    <row r="140" spans="1:5" ht="18.600000000000001">
      <c r="A140" s="2"/>
      <c r="B140" s="2" t="e">
        <f>+VLOOKUP(Tabla3568[[#This Row],[Code]],Tabla35[#All],2,0)</f>
        <v>#N/A</v>
      </c>
      <c r="C140" s="11"/>
      <c r="D140" s="38"/>
      <c r="E140" s="2"/>
    </row>
    <row r="141" spans="1:5" ht="18.600000000000001">
      <c r="A141" s="2"/>
      <c r="B141" s="2" t="e">
        <f>+VLOOKUP(Tabla3568[[#This Row],[Code]],Tabla35[#All],2,0)</f>
        <v>#N/A</v>
      </c>
      <c r="C141" s="11"/>
      <c r="D141" s="38"/>
      <c r="E141" s="2"/>
    </row>
    <row r="142" spans="1:5" ht="18.600000000000001">
      <c r="A142" s="2"/>
      <c r="B142" s="2" t="e">
        <f>+VLOOKUP(Tabla3568[[#This Row],[Code]],Tabla35[#All],2,0)</f>
        <v>#N/A</v>
      </c>
      <c r="C142" s="11"/>
      <c r="D142" s="38"/>
      <c r="E142" s="2"/>
    </row>
    <row r="143" spans="1:5" ht="18.600000000000001">
      <c r="A143" s="2"/>
      <c r="B143" s="2" t="e">
        <f>+VLOOKUP(Tabla3568[[#This Row],[Code]],Tabla35[#All],2,0)</f>
        <v>#N/A</v>
      </c>
      <c r="C143" s="11"/>
      <c r="D143" s="38"/>
      <c r="E143" s="2"/>
    </row>
    <row r="144" spans="1:5" ht="18.600000000000001">
      <c r="A144" s="2"/>
      <c r="B144" s="2" t="e">
        <f>+VLOOKUP(Tabla3568[[#This Row],[Code]],Tabla35[#All],2,0)</f>
        <v>#N/A</v>
      </c>
      <c r="C144" s="11"/>
      <c r="D144" s="38"/>
      <c r="E144" s="2"/>
    </row>
    <row r="145" spans="1:5" ht="18.600000000000001">
      <c r="A145" s="2"/>
      <c r="B145" s="2" t="e">
        <f>+VLOOKUP(Tabla3568[[#This Row],[Code]],Tabla35[#All],2,0)</f>
        <v>#N/A</v>
      </c>
      <c r="C145" s="11"/>
      <c r="D145" s="38"/>
      <c r="E145" s="2"/>
    </row>
    <row r="146" spans="1:5" ht="18.600000000000001">
      <c r="A146" s="2"/>
      <c r="B146" s="2" t="e">
        <f>+VLOOKUP(Tabla3568[[#This Row],[Code]],Tabla35[#All],2,0)</f>
        <v>#N/A</v>
      </c>
      <c r="C146" s="11"/>
      <c r="D146" s="38"/>
      <c r="E146" s="2"/>
    </row>
    <row r="147" spans="1:5" ht="18.600000000000001">
      <c r="A147" s="2"/>
      <c r="B147" s="2" t="e">
        <f>+VLOOKUP(Tabla3568[[#This Row],[Code]],Tabla35[#All],2,0)</f>
        <v>#N/A</v>
      </c>
      <c r="C147" s="11"/>
      <c r="D147" s="38"/>
      <c r="E147" s="2"/>
    </row>
    <row r="148" spans="1:5" ht="18.600000000000001">
      <c r="A148" s="2"/>
      <c r="B148" s="2" t="e">
        <f>+VLOOKUP(Tabla3568[[#This Row],[Code]],Tabla35[#All],2,0)</f>
        <v>#N/A</v>
      </c>
      <c r="C148" s="11"/>
      <c r="D148" s="38"/>
      <c r="E148" s="2"/>
    </row>
    <row r="149" spans="1:5" ht="18.600000000000001">
      <c r="A149" s="2"/>
      <c r="B149" s="2" t="e">
        <f>+VLOOKUP(Tabla3568[[#This Row],[Code]],Tabla35[#All],2,0)</f>
        <v>#N/A</v>
      </c>
      <c r="C149" s="11"/>
      <c r="D149" s="38"/>
      <c r="E149" s="2"/>
    </row>
    <row r="150" spans="1:5" ht="18.600000000000001">
      <c r="A150" s="2"/>
      <c r="B150" s="2" t="e">
        <f>+VLOOKUP(Tabla3568[[#This Row],[Code]],Tabla35[#All],2,0)</f>
        <v>#N/A</v>
      </c>
      <c r="C150" s="11"/>
      <c r="D150" s="38"/>
      <c r="E150" s="2"/>
    </row>
    <row r="151" spans="1:5" ht="18.600000000000001">
      <c r="A151" s="2"/>
      <c r="B151" s="2" t="e">
        <f>+VLOOKUP(Tabla3568[[#This Row],[Code]],Tabla35[#All],2,0)</f>
        <v>#N/A</v>
      </c>
      <c r="C151" s="11"/>
      <c r="D151" s="38"/>
      <c r="E151" s="2"/>
    </row>
    <row r="152" spans="1:5" ht="18.600000000000001">
      <c r="A152" s="2"/>
      <c r="B152" s="2" t="e">
        <f>+VLOOKUP(Tabla3568[[#This Row],[Code]],Tabla35[#All],2,0)</f>
        <v>#N/A</v>
      </c>
      <c r="C152" s="11"/>
      <c r="D152" s="38"/>
      <c r="E152" s="2"/>
    </row>
    <row r="153" spans="1:5" ht="18.600000000000001">
      <c r="A153" s="2"/>
      <c r="B153" s="2" t="e">
        <f>+VLOOKUP(Tabla3568[[#This Row],[Code]],Tabla35[#All],2,0)</f>
        <v>#N/A</v>
      </c>
      <c r="C153" s="11"/>
      <c r="D153" s="38"/>
      <c r="E153" s="2"/>
    </row>
    <row r="154" spans="1:5" ht="18.600000000000001">
      <c r="A154" s="2"/>
      <c r="B154" s="2" t="e">
        <f>+VLOOKUP(Tabla3568[[#This Row],[Code]],Tabla35[#All],2,0)</f>
        <v>#N/A</v>
      </c>
      <c r="C154" s="11"/>
      <c r="D154" s="38"/>
      <c r="E154" s="2"/>
    </row>
    <row r="155" spans="1:5" ht="18.600000000000001">
      <c r="A155" s="2"/>
      <c r="B155" s="2" t="e">
        <f>+VLOOKUP(Tabla3568[[#This Row],[Code]],Tabla35[#All],2,0)</f>
        <v>#N/A</v>
      </c>
      <c r="C155" s="11"/>
      <c r="D155" s="38"/>
      <c r="E155" s="2"/>
    </row>
    <row r="156" spans="1:5" ht="18.600000000000001">
      <c r="A156" s="2"/>
      <c r="B156" s="2" t="e">
        <f>+VLOOKUP(Tabla3568[[#This Row],[Code]],Tabla35[#All],2,0)</f>
        <v>#N/A</v>
      </c>
      <c r="C156" s="11"/>
      <c r="D156" s="38"/>
      <c r="E156" s="2"/>
    </row>
    <row r="157" spans="1:5" ht="18.600000000000001">
      <c r="A157" s="2"/>
      <c r="B157" s="2" t="e">
        <f>+VLOOKUP(Tabla3568[[#This Row],[Code]],Tabla35[#All],2,0)</f>
        <v>#N/A</v>
      </c>
      <c r="C157" s="11"/>
      <c r="D157" s="38"/>
      <c r="E157" s="2"/>
    </row>
    <row r="158" spans="1:5" ht="18.600000000000001">
      <c r="A158" s="2"/>
      <c r="B158" s="2" t="e">
        <f>+VLOOKUP(Tabla3568[[#This Row],[Code]],Tabla35[#All],2,0)</f>
        <v>#N/A</v>
      </c>
      <c r="C158" s="11"/>
      <c r="D158" s="38"/>
      <c r="E158" s="2"/>
    </row>
    <row r="159" spans="1:5" ht="18.600000000000001">
      <c r="A159" s="2"/>
      <c r="B159" s="2" t="e">
        <f>+VLOOKUP(Tabla3568[[#This Row],[Code]],Tabla35[#All],2,0)</f>
        <v>#N/A</v>
      </c>
      <c r="C159" s="11"/>
      <c r="D159" s="38"/>
      <c r="E159" s="2"/>
    </row>
    <row r="160" spans="1:5" ht="18.600000000000001">
      <c r="A160" s="2"/>
      <c r="B160" s="2" t="e">
        <f>+VLOOKUP(Tabla3568[[#This Row],[Code]],Tabla35[#All],2,0)</f>
        <v>#N/A</v>
      </c>
      <c r="C160" s="11"/>
      <c r="D160" s="38"/>
      <c r="E160" s="2"/>
    </row>
    <row r="161" spans="1:5" ht="18.600000000000001">
      <c r="A161" s="2"/>
      <c r="B161" s="2" t="e">
        <f>+VLOOKUP(Tabla3568[[#This Row],[Code]],Tabla35[#All],2,0)</f>
        <v>#N/A</v>
      </c>
      <c r="C161" s="11"/>
      <c r="D161" s="38"/>
      <c r="E161" s="2"/>
    </row>
    <row r="162" spans="1:5" ht="18.600000000000001">
      <c r="A162" s="2"/>
      <c r="B162" s="2" t="e">
        <f>+VLOOKUP(Tabla3568[[#This Row],[Code]],Tabla35[#All],2,0)</f>
        <v>#N/A</v>
      </c>
      <c r="C162" s="11"/>
      <c r="D162" s="38"/>
      <c r="E162" s="2"/>
    </row>
    <row r="163" spans="1:5" ht="18.600000000000001">
      <c r="A163" s="2"/>
      <c r="B163" s="2" t="e">
        <f>+VLOOKUP(Tabla3568[[#This Row],[Code]],Tabla35[#All],2,0)</f>
        <v>#N/A</v>
      </c>
      <c r="C163" s="11"/>
      <c r="D163" s="38"/>
      <c r="E163" s="2"/>
    </row>
    <row r="164" spans="1:5" ht="18.600000000000001">
      <c r="A164" s="2"/>
      <c r="B164" s="2" t="e">
        <f>+VLOOKUP(Tabla3568[[#This Row],[Code]],Tabla35[#All],2,0)</f>
        <v>#N/A</v>
      </c>
      <c r="C164" s="11"/>
      <c r="D164" s="38"/>
      <c r="E164" s="2"/>
    </row>
    <row r="165" spans="1:5" ht="18.600000000000001">
      <c r="A165" s="2"/>
      <c r="B165" s="2" t="e">
        <f>+VLOOKUP(Tabla3568[[#This Row],[Code]],Tabla35[#All],2,0)</f>
        <v>#N/A</v>
      </c>
      <c r="C165" s="11"/>
      <c r="D165" s="38"/>
      <c r="E165" s="2"/>
    </row>
    <row r="166" spans="1:5" ht="18.600000000000001">
      <c r="A166" s="2"/>
      <c r="B166" s="2" t="e">
        <f>+VLOOKUP(Tabla3568[[#This Row],[Code]],Tabla35[#All],2,0)</f>
        <v>#N/A</v>
      </c>
      <c r="C166" s="11"/>
      <c r="D166" s="38"/>
      <c r="E166" s="2"/>
    </row>
    <row r="167" spans="1:5" ht="18.600000000000001">
      <c r="A167" s="2"/>
      <c r="B167" s="2" t="e">
        <f>+VLOOKUP(Tabla3568[[#This Row],[Code]],Tabla35[#All],2,0)</f>
        <v>#N/A</v>
      </c>
      <c r="C167" s="11"/>
      <c r="D167" s="38"/>
      <c r="E167" s="2"/>
    </row>
    <row r="168" spans="1:5" ht="18.600000000000001">
      <c r="A168" s="2"/>
      <c r="B168" s="2" t="e">
        <f>+VLOOKUP(Tabla3568[[#This Row],[Code]],Tabla35[#All],2,0)</f>
        <v>#N/A</v>
      </c>
      <c r="C168" s="11"/>
      <c r="D168" s="38"/>
      <c r="E168" s="2"/>
    </row>
    <row r="169" spans="1:5" ht="18.600000000000001">
      <c r="A169" s="2"/>
      <c r="B169" s="2" t="e">
        <f>+VLOOKUP(Tabla3568[[#This Row],[Code]],Tabla35[#All],2,0)</f>
        <v>#N/A</v>
      </c>
      <c r="C169" s="11"/>
      <c r="D169" s="38"/>
      <c r="E169" s="2"/>
    </row>
    <row r="170" spans="1:5" ht="18.600000000000001">
      <c r="A170" s="2"/>
      <c r="B170" s="2" t="e">
        <f>+VLOOKUP(Tabla3568[[#This Row],[Code]],Tabla35[#All],2,0)</f>
        <v>#N/A</v>
      </c>
      <c r="C170" s="11"/>
      <c r="D170" s="38"/>
      <c r="E170" s="2"/>
    </row>
    <row r="171" spans="1:5" ht="18.600000000000001">
      <c r="A171" s="2"/>
      <c r="B171" s="2" t="e">
        <f>+VLOOKUP(Tabla3568[[#This Row],[Code]],Tabla35[#All],2,0)</f>
        <v>#N/A</v>
      </c>
      <c r="C171" s="11"/>
      <c r="D171" s="38"/>
      <c r="E171" s="2"/>
    </row>
    <row r="172" spans="1:5" ht="18.600000000000001">
      <c r="A172" s="2"/>
      <c r="B172" s="2" t="e">
        <f>+VLOOKUP(Tabla3568[[#This Row],[Code]],Tabla35[#All],2,0)</f>
        <v>#N/A</v>
      </c>
      <c r="C172" s="11"/>
      <c r="D172" s="38"/>
      <c r="E172" s="2"/>
    </row>
    <row r="173" spans="1:5" ht="18.600000000000001">
      <c r="A173" s="2"/>
      <c r="B173" s="2" t="e">
        <f>+VLOOKUP(Tabla3568[[#This Row],[Code]],Tabla35[#All],2,0)</f>
        <v>#N/A</v>
      </c>
      <c r="C173" s="11"/>
      <c r="D173" s="38"/>
      <c r="E173" s="2"/>
    </row>
    <row r="174" spans="1:5" ht="18.600000000000001">
      <c r="A174" s="2"/>
      <c r="B174" s="2" t="e">
        <f>+VLOOKUP(Tabla3568[[#This Row],[Code]],Tabla35[#All],2,0)</f>
        <v>#N/A</v>
      </c>
      <c r="C174" s="11"/>
      <c r="D174" s="38"/>
      <c r="E174" s="2"/>
    </row>
    <row r="175" spans="1:5" ht="18.600000000000001">
      <c r="A175" s="2"/>
      <c r="B175" s="2" t="e">
        <f>+VLOOKUP(Tabla3568[[#This Row],[Code]],Tabla35[#All],2,0)</f>
        <v>#N/A</v>
      </c>
      <c r="C175" s="11"/>
      <c r="D175" s="38"/>
      <c r="E175" s="2"/>
    </row>
    <row r="176" spans="1:5" ht="18.600000000000001">
      <c r="A176" s="2"/>
      <c r="B176" s="2" t="e">
        <f>+VLOOKUP(Tabla3568[[#This Row],[Code]],Tabla35[#All],2,0)</f>
        <v>#N/A</v>
      </c>
      <c r="C176" s="11"/>
      <c r="D176" s="38"/>
      <c r="E176" s="2"/>
    </row>
    <row r="177" spans="1:5" ht="18.600000000000001">
      <c r="A177" s="2"/>
      <c r="B177" s="2" t="e">
        <f>+VLOOKUP(Tabla3568[[#This Row],[Code]],Tabla35[#All],2,0)</f>
        <v>#N/A</v>
      </c>
      <c r="C177" s="11"/>
      <c r="D177" s="38"/>
      <c r="E177" s="2"/>
    </row>
    <row r="178" spans="1:5" ht="18.600000000000001">
      <c r="A178" s="2"/>
      <c r="B178" s="2" t="e">
        <f>+VLOOKUP(Tabla3568[[#This Row],[Code]],Tabla35[#All],2,0)</f>
        <v>#N/A</v>
      </c>
      <c r="C178" s="11"/>
      <c r="D178" s="38"/>
      <c r="E178" s="2"/>
    </row>
    <row r="179" spans="1:5" ht="18.600000000000001">
      <c r="A179" s="2"/>
      <c r="B179" s="2" t="e">
        <f>+VLOOKUP(Tabla3568[[#This Row],[Code]],Tabla35[#All],2,0)</f>
        <v>#N/A</v>
      </c>
      <c r="C179" s="11"/>
      <c r="D179" s="38"/>
      <c r="E179" s="2"/>
    </row>
    <row r="180" spans="1:5" ht="18.600000000000001">
      <c r="A180" s="2"/>
      <c r="B180" s="2" t="e">
        <f>+VLOOKUP(Tabla3568[[#This Row],[Code]],Tabla35[#All],2,0)</f>
        <v>#N/A</v>
      </c>
      <c r="C180" s="11"/>
      <c r="D180" s="38"/>
      <c r="E180" s="2"/>
    </row>
    <row r="181" spans="1:5" ht="18.600000000000001">
      <c r="A181" s="2"/>
      <c r="B181" s="2" t="e">
        <f>+VLOOKUP(Tabla3568[[#This Row],[Code]],Tabla35[#All],2,0)</f>
        <v>#N/A</v>
      </c>
      <c r="C181" s="11"/>
      <c r="D181" s="38"/>
      <c r="E181" s="2"/>
    </row>
    <row r="182" spans="1:5" ht="18.600000000000001">
      <c r="A182" s="2"/>
      <c r="B182" s="2" t="e">
        <f>+VLOOKUP(Tabla3568[[#This Row],[Code]],Tabla35[#All],2,0)</f>
        <v>#N/A</v>
      </c>
      <c r="C182" s="11"/>
      <c r="D182" s="38"/>
      <c r="E182" s="2"/>
    </row>
    <row r="183" spans="1:5" ht="18.600000000000001">
      <c r="A183" s="2"/>
      <c r="B183" s="2" t="e">
        <f>+VLOOKUP(Tabla3568[[#This Row],[Code]],Tabla35[#All],2,0)</f>
        <v>#N/A</v>
      </c>
      <c r="C183" s="11"/>
      <c r="D183" s="38"/>
      <c r="E183" s="2"/>
    </row>
    <row r="184" spans="1:5" ht="18.600000000000001">
      <c r="A184" s="2"/>
      <c r="B184" s="2" t="e">
        <f>+VLOOKUP(Tabla3568[[#This Row],[Code]],Tabla35[#All],2,0)</f>
        <v>#N/A</v>
      </c>
      <c r="C184" s="11"/>
      <c r="D184" s="38"/>
      <c r="E184" s="2"/>
    </row>
    <row r="185" spans="1:5" ht="18.600000000000001">
      <c r="A185" s="2"/>
      <c r="B185" s="2" t="e">
        <f>+VLOOKUP(Tabla3568[[#This Row],[Code]],Tabla35[#All],2,0)</f>
        <v>#N/A</v>
      </c>
      <c r="C185" s="11"/>
      <c r="D185" s="38"/>
      <c r="E185" s="2"/>
    </row>
    <row r="186" spans="1:5" ht="18.600000000000001">
      <c r="A186" s="2"/>
      <c r="B186" s="2" t="e">
        <f>+VLOOKUP(Tabla3568[[#This Row],[Code]],Tabla35[#All],2,0)</f>
        <v>#N/A</v>
      </c>
      <c r="C186" s="11"/>
      <c r="D186" s="38"/>
      <c r="E186" s="2"/>
    </row>
    <row r="187" spans="1:5" ht="18.600000000000001">
      <c r="A187" s="2"/>
      <c r="B187" s="2" t="e">
        <f>+VLOOKUP(Tabla3568[[#This Row],[Code]],Tabla35[#All],2,0)</f>
        <v>#N/A</v>
      </c>
      <c r="C187" s="11"/>
      <c r="D187" s="38"/>
      <c r="E187" s="2"/>
    </row>
    <row r="188" spans="1:5" ht="18.600000000000001">
      <c r="A188" s="2"/>
      <c r="B188" s="2" t="e">
        <f>+VLOOKUP(Tabla3568[[#This Row],[Code]],Tabla35[#All],2,0)</f>
        <v>#N/A</v>
      </c>
      <c r="C188" s="11"/>
      <c r="D188" s="38"/>
      <c r="E188" s="2"/>
    </row>
    <row r="189" spans="1:5" ht="18.600000000000001">
      <c r="A189" s="2"/>
      <c r="B189" s="2" t="e">
        <f>+VLOOKUP(Tabla3568[[#This Row],[Code]],Tabla35[#All],2,0)</f>
        <v>#N/A</v>
      </c>
      <c r="C189" s="11"/>
      <c r="D189" s="38"/>
      <c r="E189" s="2"/>
    </row>
    <row r="190" spans="1:5" ht="18.600000000000001">
      <c r="A190" s="2"/>
      <c r="B190" s="2" t="e">
        <f>+VLOOKUP(Tabla3568[[#This Row],[Code]],Tabla35[#All],2,0)</f>
        <v>#N/A</v>
      </c>
      <c r="C190" s="11"/>
      <c r="D190" s="38"/>
      <c r="E190" s="2"/>
    </row>
    <row r="191" spans="1:5" ht="18.600000000000001">
      <c r="A191" s="2"/>
      <c r="B191" s="2" t="e">
        <f>+VLOOKUP(Tabla3568[[#This Row],[Code]],Tabla35[#All],2,0)</f>
        <v>#N/A</v>
      </c>
      <c r="C191" s="11"/>
      <c r="D191" s="38"/>
      <c r="E191" s="2"/>
    </row>
    <row r="192" spans="1:5" ht="18.600000000000001">
      <c r="A192" s="2"/>
      <c r="B192" s="2" t="e">
        <f>+VLOOKUP(Tabla3568[[#This Row],[Code]],Tabla35[#All],2,0)</f>
        <v>#N/A</v>
      </c>
      <c r="C192" s="11"/>
      <c r="D192" s="38"/>
      <c r="E192" s="2"/>
    </row>
    <row r="193" spans="1:5" ht="18.600000000000001">
      <c r="A193" s="2"/>
      <c r="B193" s="2" t="e">
        <f>+VLOOKUP(Tabla3568[[#This Row],[Code]],Tabla35[#All],2,0)</f>
        <v>#N/A</v>
      </c>
      <c r="C193" s="11"/>
      <c r="D193" s="38"/>
      <c r="E193" s="2"/>
    </row>
    <row r="194" spans="1:5" ht="18.600000000000001">
      <c r="A194" s="2"/>
      <c r="B194" s="2" t="e">
        <f>+VLOOKUP(Tabla3568[[#This Row],[Code]],Tabla35[#All],2,0)</f>
        <v>#N/A</v>
      </c>
      <c r="C194" s="11"/>
      <c r="D194" s="38"/>
      <c r="E194" s="2"/>
    </row>
    <row r="195" spans="1:5" ht="18.600000000000001">
      <c r="A195" s="2"/>
      <c r="B195" s="2" t="e">
        <f>+VLOOKUP(Tabla3568[[#This Row],[Code]],Tabla35[#All],2,0)</f>
        <v>#N/A</v>
      </c>
      <c r="C195" s="11"/>
      <c r="D195" s="38"/>
      <c r="E195" s="2"/>
    </row>
    <row r="196" spans="1:5" ht="18.600000000000001">
      <c r="A196" s="2"/>
      <c r="B196" s="2" t="e">
        <f>+VLOOKUP(Tabla3568[[#This Row],[Code]],Tabla35[#All],2,0)</f>
        <v>#N/A</v>
      </c>
      <c r="C196" s="11"/>
      <c r="D196" s="38"/>
      <c r="E196" s="2"/>
    </row>
    <row r="197" spans="1:5" ht="18.600000000000001">
      <c r="A197" s="2"/>
      <c r="B197" s="2" t="e">
        <f>+VLOOKUP(Tabla3568[[#This Row],[Code]],Tabla35[#All],2,0)</f>
        <v>#N/A</v>
      </c>
      <c r="C197" s="11"/>
      <c r="D197" s="38"/>
      <c r="E197" s="2"/>
    </row>
    <row r="198" spans="1:5" ht="18.600000000000001">
      <c r="A198" s="2"/>
      <c r="B198" s="2" t="e">
        <f>+VLOOKUP(Tabla3568[[#This Row],[Code]],Tabla35[#All],2,0)</f>
        <v>#N/A</v>
      </c>
      <c r="C198" s="11"/>
      <c r="D198" s="38"/>
      <c r="E198" s="2"/>
    </row>
    <row r="199" spans="1:5" ht="18.600000000000001">
      <c r="A199" s="2"/>
      <c r="B199" s="2" t="e">
        <f>+VLOOKUP(Tabla3568[[#This Row],[Code]],Tabla35[#All],2,0)</f>
        <v>#N/A</v>
      </c>
      <c r="C199" s="11"/>
      <c r="D199" s="38"/>
      <c r="E199" s="2"/>
    </row>
    <row r="200" spans="1:5" ht="18.600000000000001">
      <c r="A200" s="2"/>
      <c r="B200" s="2" t="e">
        <f>+VLOOKUP(Tabla3568[[#This Row],[Code]],Tabla35[#All],2,0)</f>
        <v>#N/A</v>
      </c>
      <c r="C200" s="11"/>
      <c r="D200" s="38"/>
      <c r="E200" s="2"/>
    </row>
    <row r="201" spans="1:5" ht="18.600000000000001">
      <c r="A201" s="2"/>
      <c r="B201" s="2" t="e">
        <f>+VLOOKUP(Tabla3568[[#This Row],[Code]],Tabla35[#All],2,0)</f>
        <v>#N/A</v>
      </c>
      <c r="C201" s="11"/>
      <c r="D201" s="38"/>
      <c r="E201" s="2"/>
    </row>
    <row r="202" spans="1:5" ht="18.600000000000001">
      <c r="A202" s="2"/>
      <c r="B202" s="2" t="e">
        <f>+VLOOKUP(Tabla3568[[#This Row],[Code]],Tabla35[#All],2,0)</f>
        <v>#N/A</v>
      </c>
      <c r="C202" s="11"/>
      <c r="D202" s="38"/>
      <c r="E202" s="2"/>
    </row>
    <row r="203" spans="1:5" ht="18.600000000000001">
      <c r="A203" s="2"/>
      <c r="B203" s="2" t="e">
        <f>+VLOOKUP(Tabla3568[[#This Row],[Code]],Tabla35[#All],2,0)</f>
        <v>#N/A</v>
      </c>
      <c r="C203" s="11"/>
      <c r="D203" s="38"/>
      <c r="E203" s="2"/>
    </row>
    <row r="204" spans="1:5" ht="18.600000000000001">
      <c r="A204" s="2"/>
      <c r="B204" s="2" t="e">
        <f>+VLOOKUP(Tabla3568[[#This Row],[Code]],Tabla35[#All],2,0)</f>
        <v>#N/A</v>
      </c>
      <c r="C204" s="11"/>
      <c r="D204" s="38"/>
      <c r="E204" s="2"/>
    </row>
    <row r="205" spans="1:5" ht="18.600000000000001">
      <c r="A205" s="2"/>
      <c r="B205" s="2" t="e">
        <f>+VLOOKUP(Tabla3568[[#This Row],[Code]],Tabla35[#All],2,0)</f>
        <v>#N/A</v>
      </c>
      <c r="C205" s="11"/>
      <c r="D205" s="38"/>
      <c r="E205" s="2"/>
    </row>
    <row r="206" spans="1:5" ht="18.600000000000001">
      <c r="A206" s="2"/>
      <c r="B206" s="2" t="e">
        <f>+VLOOKUP(Tabla3568[[#This Row],[Code]],Tabla35[#All],2,0)</f>
        <v>#N/A</v>
      </c>
      <c r="C206" s="11"/>
      <c r="D206" s="38"/>
      <c r="E206" s="2"/>
    </row>
    <row r="207" spans="1:5" ht="18.600000000000001">
      <c r="A207" s="2"/>
      <c r="B207" s="2" t="e">
        <f>+VLOOKUP(Tabla3568[[#This Row],[Code]],Tabla35[#All],2,0)</f>
        <v>#N/A</v>
      </c>
      <c r="C207" s="11"/>
      <c r="D207" s="38"/>
      <c r="E207" s="2"/>
    </row>
    <row r="208" spans="1:5" ht="18.600000000000001">
      <c r="A208" s="2"/>
      <c r="B208" s="2" t="e">
        <f>+VLOOKUP(Tabla3568[[#This Row],[Code]],Tabla35[#All],2,0)</f>
        <v>#N/A</v>
      </c>
      <c r="C208" s="11"/>
      <c r="D208" s="38"/>
      <c r="E208" s="2"/>
    </row>
    <row r="209" spans="1:5" ht="18.600000000000001">
      <c r="A209" s="2"/>
      <c r="B209" s="2" t="e">
        <f>+VLOOKUP(Tabla3568[[#This Row],[Code]],Tabla35[#All],2,0)</f>
        <v>#N/A</v>
      </c>
      <c r="C209" s="11"/>
      <c r="D209" s="38"/>
      <c r="E209" s="2"/>
    </row>
    <row r="210" spans="1:5" ht="18.600000000000001">
      <c r="A210" s="2"/>
      <c r="B210" s="2" t="e">
        <f>+VLOOKUP(Tabla3568[[#This Row],[Code]],Tabla35[#All],2,0)</f>
        <v>#N/A</v>
      </c>
      <c r="C210" s="11"/>
      <c r="D210" s="38"/>
      <c r="E210" s="2"/>
    </row>
    <row r="211" spans="1:5" ht="18.600000000000001">
      <c r="A211" s="2"/>
      <c r="B211" s="2" t="e">
        <f>+VLOOKUP(Tabla3568[[#This Row],[Code]],Tabla35[#All],2,0)</f>
        <v>#N/A</v>
      </c>
      <c r="C211" s="11"/>
      <c r="D211" s="38"/>
      <c r="E211" s="2"/>
    </row>
    <row r="212" spans="1:5" ht="18.600000000000001">
      <c r="A212" s="2"/>
      <c r="B212" s="2" t="e">
        <f>+VLOOKUP(Tabla3568[[#This Row],[Code]],Tabla35[#All],2,0)</f>
        <v>#N/A</v>
      </c>
      <c r="C212" s="11"/>
      <c r="D212" s="38"/>
      <c r="E212" s="2"/>
    </row>
    <row r="213" spans="1:5" ht="18.600000000000001">
      <c r="A213" s="2"/>
      <c r="B213" s="2" t="e">
        <f>+VLOOKUP(Tabla3568[[#This Row],[Code]],Tabla35[#All],2,0)</f>
        <v>#N/A</v>
      </c>
      <c r="C213" s="11"/>
      <c r="D213" s="38"/>
      <c r="E213" s="2"/>
    </row>
    <row r="214" spans="1:5" ht="18.600000000000001">
      <c r="A214" s="2"/>
      <c r="B214" s="2" t="e">
        <f>+VLOOKUP(Tabla3568[[#This Row],[Code]],Tabla35[#All],2,0)</f>
        <v>#N/A</v>
      </c>
      <c r="C214" s="11"/>
      <c r="D214" s="38"/>
      <c r="E214" s="2"/>
    </row>
    <row r="215" spans="1:5" ht="18.600000000000001">
      <c r="A215" s="2"/>
      <c r="B215" s="2" t="e">
        <f>+VLOOKUP(Tabla3568[[#This Row],[Code]],Tabla35[#All],2,0)</f>
        <v>#N/A</v>
      </c>
      <c r="C215" s="11"/>
      <c r="D215" s="38"/>
      <c r="E215" s="2"/>
    </row>
    <row r="216" spans="1:5" ht="18.600000000000001">
      <c r="A216" s="2"/>
      <c r="B216" s="2" t="e">
        <f>+VLOOKUP(Tabla3568[[#This Row],[Code]],Tabla35[#All],2,0)</f>
        <v>#N/A</v>
      </c>
      <c r="C216" s="11"/>
      <c r="D216" s="38"/>
      <c r="E216" s="2"/>
    </row>
    <row r="217" spans="1:5" ht="18.600000000000001">
      <c r="A217" s="2"/>
      <c r="B217" s="2" t="e">
        <f>+VLOOKUP(Tabla3568[[#This Row],[Code]],Tabla35[#All],2,0)</f>
        <v>#N/A</v>
      </c>
      <c r="C217" s="11"/>
      <c r="D217" s="38"/>
      <c r="E217" s="2"/>
    </row>
    <row r="218" spans="1:5" ht="18.600000000000001">
      <c r="A218" s="2"/>
      <c r="B218" s="2" t="e">
        <f>+VLOOKUP(Tabla3568[[#This Row],[Code]],Tabla35[#All],2,0)</f>
        <v>#N/A</v>
      </c>
      <c r="C218" s="11"/>
      <c r="D218" s="38"/>
      <c r="E218" s="2"/>
    </row>
    <row r="219" spans="1:5" ht="18.600000000000001">
      <c r="A219" s="2"/>
      <c r="B219" s="2" t="e">
        <f>+VLOOKUP(Tabla3568[[#This Row],[Code]],Tabla35[#All],2,0)</f>
        <v>#N/A</v>
      </c>
      <c r="C219" s="11"/>
      <c r="D219" s="38"/>
      <c r="E219" s="2"/>
    </row>
    <row r="220" spans="1:5" ht="18.600000000000001">
      <c r="A220" s="2"/>
      <c r="B220" s="2" t="e">
        <f>+VLOOKUP(Tabla3568[[#This Row],[Code]],Tabla35[#All],2,0)</f>
        <v>#N/A</v>
      </c>
      <c r="C220" s="11"/>
      <c r="D220" s="38"/>
      <c r="E220" s="2"/>
    </row>
    <row r="221" spans="1:5" ht="18.600000000000001">
      <c r="A221" s="2"/>
      <c r="B221" s="2" t="e">
        <f>+VLOOKUP(Tabla3568[[#This Row],[Code]],Tabla35[#All],2,0)</f>
        <v>#N/A</v>
      </c>
      <c r="C221" s="11"/>
      <c r="D221" s="38"/>
      <c r="E221" s="2"/>
    </row>
    <row r="222" spans="1:5" ht="18.600000000000001">
      <c r="A222" s="2"/>
      <c r="B222" s="2" t="e">
        <f>+VLOOKUP(Tabla3568[[#This Row],[Code]],Tabla35[#All],2,0)</f>
        <v>#N/A</v>
      </c>
      <c r="C222" s="11"/>
      <c r="D222" s="38"/>
      <c r="E222" s="2"/>
    </row>
    <row r="223" spans="1:5" ht="18.600000000000001">
      <c r="A223" s="2"/>
      <c r="B223" s="2" t="e">
        <f>+VLOOKUP(Tabla3568[[#This Row],[Code]],Tabla35[#All],2,0)</f>
        <v>#N/A</v>
      </c>
      <c r="C223" s="11"/>
      <c r="D223" s="38"/>
      <c r="E223" s="2"/>
    </row>
    <row r="224" spans="1:5" ht="18.600000000000001">
      <c r="A224" s="2"/>
      <c r="B224" s="2" t="e">
        <f>+VLOOKUP(Tabla3568[[#This Row],[Code]],Tabla35[#All],2,0)</f>
        <v>#N/A</v>
      </c>
      <c r="C224" s="11"/>
      <c r="D224" s="38"/>
      <c r="E224" s="2"/>
    </row>
    <row r="225" spans="1:5" ht="18.600000000000001">
      <c r="A225" s="2"/>
      <c r="B225" s="2" t="e">
        <f>+VLOOKUP(Tabla3568[[#This Row],[Code]],Tabla35[#All],2,0)</f>
        <v>#N/A</v>
      </c>
      <c r="C225" s="11"/>
      <c r="D225" s="38"/>
      <c r="E225" s="2"/>
    </row>
    <row r="226" spans="1:5" ht="18.600000000000001">
      <c r="A226" s="2"/>
      <c r="B226" s="2" t="e">
        <f>+VLOOKUP(Tabla3568[[#This Row],[Code]],Tabla35[#All],2,0)</f>
        <v>#N/A</v>
      </c>
      <c r="C226" s="11"/>
      <c r="D226" s="38"/>
      <c r="E226" s="2"/>
    </row>
    <row r="227" spans="1:5" ht="18.600000000000001">
      <c r="A227" s="2"/>
      <c r="B227" s="2" t="e">
        <f>+VLOOKUP(Tabla3568[[#This Row],[Code]],Tabla35[#All],2,0)</f>
        <v>#N/A</v>
      </c>
      <c r="C227" s="11"/>
      <c r="D227" s="38"/>
      <c r="E227" s="2"/>
    </row>
    <row r="228" spans="1:5" ht="18.600000000000001">
      <c r="A228" s="2"/>
      <c r="B228" s="2" t="e">
        <f>+VLOOKUP(Tabla3568[[#This Row],[Code]],Tabla35[#All],2,0)</f>
        <v>#N/A</v>
      </c>
      <c r="C228" s="11"/>
      <c r="D228" s="38"/>
      <c r="E228" s="2"/>
    </row>
    <row r="229" spans="1:5" ht="18.600000000000001">
      <c r="A229" s="2"/>
      <c r="B229" s="2" t="e">
        <f>+VLOOKUP(Tabla3568[[#This Row],[Code]],Tabla35[#All],2,0)</f>
        <v>#N/A</v>
      </c>
      <c r="C229" s="11"/>
      <c r="D229" s="38"/>
      <c r="E229" s="2"/>
    </row>
    <row r="230" spans="1:5" ht="18.600000000000001">
      <c r="A230" s="2"/>
      <c r="B230" s="2" t="e">
        <f>+VLOOKUP(Tabla3568[[#This Row],[Code]],Tabla35[#All],2,0)</f>
        <v>#N/A</v>
      </c>
      <c r="C230" s="11"/>
      <c r="D230" s="38"/>
      <c r="E230" s="2"/>
    </row>
    <row r="231" spans="1:5" ht="18.600000000000001">
      <c r="A231" s="2"/>
      <c r="B231" s="2" t="e">
        <f>+VLOOKUP(Tabla3568[[#This Row],[Code]],Tabla35[#All],2,0)</f>
        <v>#N/A</v>
      </c>
      <c r="C231" s="11"/>
      <c r="D231" s="38"/>
      <c r="E231" s="2"/>
    </row>
    <row r="232" spans="1:5" ht="18.600000000000001">
      <c r="A232" s="2"/>
      <c r="B232" s="2" t="e">
        <f>+VLOOKUP(Tabla3568[[#This Row],[Code]],Tabla35[#All],2,0)</f>
        <v>#N/A</v>
      </c>
      <c r="C232" s="11"/>
      <c r="D232" s="38"/>
      <c r="E232" s="2"/>
    </row>
    <row r="233" spans="1:5" ht="18.600000000000001">
      <c r="A233" s="2"/>
      <c r="B233" s="2" t="e">
        <f>+VLOOKUP(Tabla3568[[#This Row],[Code]],Tabla35[#All],2,0)</f>
        <v>#N/A</v>
      </c>
      <c r="C233" s="11"/>
      <c r="D233" s="38"/>
      <c r="E233" s="2"/>
    </row>
    <row r="234" spans="1:5" ht="18.600000000000001">
      <c r="A234" s="2"/>
      <c r="B234" s="2" t="e">
        <f>+VLOOKUP(Tabla3568[[#This Row],[Code]],Tabla35[#All],2,0)</f>
        <v>#N/A</v>
      </c>
      <c r="C234" s="11"/>
      <c r="D234" s="38"/>
      <c r="E234" s="2"/>
    </row>
    <row r="235" spans="1:5" ht="18.600000000000001">
      <c r="A235" s="2"/>
      <c r="B235" s="2" t="e">
        <f>+VLOOKUP(Tabla3568[[#This Row],[Code]],Tabla35[#All],2,0)</f>
        <v>#N/A</v>
      </c>
      <c r="C235" s="11"/>
      <c r="D235" s="38"/>
      <c r="E235" s="2"/>
    </row>
    <row r="236" spans="1:5" ht="18.600000000000001">
      <c r="A236" s="2"/>
      <c r="B236" s="2" t="e">
        <f>+VLOOKUP(Tabla3568[[#This Row],[Code]],Tabla35[#All],2,0)</f>
        <v>#N/A</v>
      </c>
      <c r="C236" s="11"/>
      <c r="D236" s="38"/>
      <c r="E236" s="2"/>
    </row>
    <row r="237" spans="1:5" ht="18.600000000000001">
      <c r="A237" s="2"/>
      <c r="B237" s="2" t="e">
        <f>+VLOOKUP(Tabla3568[[#This Row],[Code]],Tabla35[#All],2,0)</f>
        <v>#N/A</v>
      </c>
      <c r="C237" s="11"/>
      <c r="D237" s="38"/>
      <c r="E237" s="2"/>
    </row>
    <row r="238" spans="1:5" ht="18.600000000000001">
      <c r="A238" s="2"/>
      <c r="B238" s="2" t="e">
        <f>+VLOOKUP(Tabla3568[[#This Row],[Code]],Tabla35[#All],2,0)</f>
        <v>#N/A</v>
      </c>
      <c r="C238" s="11"/>
      <c r="D238" s="38"/>
      <c r="E238" s="2"/>
    </row>
    <row r="239" spans="1:5" ht="18.600000000000001">
      <c r="A239" s="2"/>
      <c r="B239" s="2" t="e">
        <f>+VLOOKUP(Tabla3568[[#This Row],[Code]],Tabla35[#All],2,0)</f>
        <v>#N/A</v>
      </c>
      <c r="C239" s="11"/>
      <c r="D239" s="38"/>
      <c r="E239" s="2"/>
    </row>
    <row r="240" spans="1:5" ht="18.600000000000001">
      <c r="A240" s="2"/>
      <c r="B240" s="2" t="e">
        <f>+VLOOKUP(Tabla3568[[#This Row],[Code]],Tabla35[#All],2,0)</f>
        <v>#N/A</v>
      </c>
      <c r="C240" s="11"/>
      <c r="D240" s="38"/>
      <c r="E240" s="2"/>
    </row>
    <row r="241" spans="1:5" ht="18.600000000000001">
      <c r="A241" s="2"/>
      <c r="B241" s="2" t="e">
        <f>+VLOOKUP(Tabla3568[[#This Row],[Code]],Tabla35[#All],2,0)</f>
        <v>#N/A</v>
      </c>
      <c r="C241" s="11"/>
      <c r="D241" s="38"/>
      <c r="E241" s="2"/>
    </row>
    <row r="242" spans="1:5" ht="18.600000000000001">
      <c r="A242" s="2"/>
      <c r="B242" s="2" t="e">
        <f>+VLOOKUP(Tabla3568[[#This Row],[Code]],Tabla35[#All],2,0)</f>
        <v>#N/A</v>
      </c>
      <c r="C242" s="11"/>
      <c r="D242" s="38"/>
      <c r="E242" s="2"/>
    </row>
    <row r="243" spans="1:5" ht="18.600000000000001">
      <c r="A243" s="2"/>
      <c r="B243" s="2" t="e">
        <f>+VLOOKUP(Tabla3568[[#This Row],[Code]],Tabla35[#All],2,0)</f>
        <v>#N/A</v>
      </c>
      <c r="C243" s="11"/>
      <c r="D243" s="38"/>
      <c r="E243" s="2"/>
    </row>
    <row r="244" spans="1:5" ht="18.600000000000001">
      <c r="A244" s="2"/>
      <c r="B244" s="2" t="e">
        <f>+VLOOKUP(Tabla3568[[#This Row],[Code]],Tabla35[#All],2,0)</f>
        <v>#N/A</v>
      </c>
      <c r="C244" s="11"/>
      <c r="D244" s="38"/>
      <c r="E244" s="2"/>
    </row>
    <row r="245" spans="1:5" ht="18.600000000000001">
      <c r="A245" s="2"/>
      <c r="B245" s="2" t="e">
        <f>+VLOOKUP(Tabla3568[[#This Row],[Code]],Tabla35[#All],2,0)</f>
        <v>#N/A</v>
      </c>
      <c r="C245" s="11"/>
      <c r="D245" s="38"/>
      <c r="E245" s="2"/>
    </row>
    <row r="246" spans="1:5" ht="18.600000000000001">
      <c r="A246" s="2"/>
      <c r="B246" s="2" t="e">
        <f>+VLOOKUP(Tabla3568[[#This Row],[Code]],Tabla35[#All],2,0)</f>
        <v>#N/A</v>
      </c>
      <c r="C246" s="11"/>
      <c r="D246" s="38"/>
      <c r="E246" s="2"/>
    </row>
    <row r="247" spans="1:5" ht="18.600000000000001">
      <c r="A247" s="2"/>
      <c r="B247" s="2" t="e">
        <f>+VLOOKUP(Tabla3568[[#This Row],[Code]],Tabla35[#All],2,0)</f>
        <v>#N/A</v>
      </c>
      <c r="C247" s="11"/>
      <c r="D247" s="38"/>
      <c r="E247" s="2"/>
    </row>
    <row r="248" spans="1:5" ht="18.600000000000001">
      <c r="A248" s="2"/>
      <c r="B248" s="2" t="e">
        <f>+VLOOKUP(Tabla3568[[#This Row],[Code]],Tabla35[#All],2,0)</f>
        <v>#N/A</v>
      </c>
      <c r="C248" s="11"/>
      <c r="D248" s="38"/>
      <c r="E248" s="2"/>
    </row>
    <row r="249" spans="1:5" ht="18.600000000000001">
      <c r="A249" s="2"/>
      <c r="B249" s="2" t="e">
        <f>+VLOOKUP(Tabla3568[[#This Row],[Code]],Tabla35[#All],2,0)</f>
        <v>#N/A</v>
      </c>
      <c r="C249" s="11"/>
      <c r="D249" s="38"/>
      <c r="E249" s="2"/>
    </row>
    <row r="250" spans="1:5" ht="18.600000000000001">
      <c r="A250" s="2"/>
      <c r="B250" s="2" t="e">
        <f>+VLOOKUP(Tabla3568[[#This Row],[Code]],Tabla35[#All],2,0)</f>
        <v>#N/A</v>
      </c>
      <c r="C250" s="11"/>
      <c r="D250" s="38"/>
      <c r="E250" s="2"/>
    </row>
    <row r="251" spans="1:5" ht="18.600000000000001">
      <c r="A251" s="2"/>
      <c r="B251" s="2" t="e">
        <f>+VLOOKUP(Tabla3568[[#This Row],[Code]],Tabla35[#All],2,0)</f>
        <v>#N/A</v>
      </c>
      <c r="C251" s="11"/>
      <c r="D251" s="38"/>
      <c r="E251" s="2"/>
    </row>
    <row r="252" spans="1:5" ht="18.600000000000001">
      <c r="A252" s="2"/>
      <c r="B252" s="2" t="e">
        <f>+VLOOKUP(Tabla3568[[#This Row],[Code]],Tabla35[#All],2,0)</f>
        <v>#N/A</v>
      </c>
      <c r="C252" s="11"/>
      <c r="D252" s="38"/>
      <c r="E252" s="2"/>
    </row>
    <row r="253" spans="1:5" ht="18.600000000000001">
      <c r="A253" s="2"/>
      <c r="B253" s="2" t="e">
        <f>+VLOOKUP(Tabla3568[[#This Row],[Code]],Tabla35[#All],2,0)</f>
        <v>#N/A</v>
      </c>
      <c r="C253" s="11"/>
      <c r="D253" s="38"/>
      <c r="E253" s="2"/>
    </row>
    <row r="254" spans="1:5" ht="18.600000000000001">
      <c r="A254" s="2"/>
      <c r="B254" s="2" t="e">
        <f>+VLOOKUP(Tabla3568[[#This Row],[Code]],Tabla35[#All],2,0)</f>
        <v>#N/A</v>
      </c>
      <c r="C254" s="11"/>
      <c r="D254" s="38"/>
      <c r="E254" s="2"/>
    </row>
    <row r="255" spans="1:5" ht="18.600000000000001">
      <c r="A255" s="2"/>
      <c r="B255" s="2" t="e">
        <f>+VLOOKUP(Tabla3568[[#This Row],[Code]],Tabla35[#All],2,0)</f>
        <v>#N/A</v>
      </c>
      <c r="C255" s="11"/>
      <c r="D255" s="38"/>
      <c r="E255" s="2"/>
    </row>
    <row r="256" spans="1:5" ht="18.600000000000001">
      <c r="A256" s="2"/>
      <c r="B256" s="2" t="e">
        <f>+VLOOKUP(Tabla3568[[#This Row],[Code]],Tabla35[#All],2,0)</f>
        <v>#N/A</v>
      </c>
      <c r="C256" s="11"/>
      <c r="D256" s="38"/>
      <c r="E256" s="2"/>
    </row>
    <row r="257" spans="1:5" ht="18.600000000000001">
      <c r="A257" s="2"/>
      <c r="B257" s="2" t="e">
        <f>+VLOOKUP(Tabla3568[[#This Row],[Code]],Tabla35[#All],2,0)</f>
        <v>#N/A</v>
      </c>
      <c r="C257" s="11"/>
      <c r="D257" s="38"/>
      <c r="E257" s="2"/>
    </row>
    <row r="258" spans="1:5" ht="18.600000000000001">
      <c r="A258" s="2"/>
      <c r="B258" s="2" t="e">
        <f>+VLOOKUP(Tabla3568[[#This Row],[Code]],Tabla35[#All],2,0)</f>
        <v>#N/A</v>
      </c>
      <c r="C258" s="11"/>
      <c r="D258" s="38"/>
      <c r="E258" s="2"/>
    </row>
    <row r="259" spans="1:5" ht="18.600000000000001">
      <c r="A259" s="2"/>
      <c r="B259" s="2" t="e">
        <f>+VLOOKUP(Tabla3568[[#This Row],[Code]],Tabla35[#All],2,0)</f>
        <v>#N/A</v>
      </c>
      <c r="C259" s="11"/>
      <c r="D259" s="38"/>
      <c r="E259" s="2"/>
    </row>
    <row r="260" spans="1:5" ht="18.600000000000001">
      <c r="A260" s="2"/>
      <c r="B260" s="2" t="e">
        <f>+VLOOKUP(Tabla3568[[#This Row],[Code]],Tabla35[#All],2,0)</f>
        <v>#N/A</v>
      </c>
      <c r="C260" s="11"/>
      <c r="D260" s="38"/>
      <c r="E260" s="2"/>
    </row>
    <row r="261" spans="1:5" ht="18.600000000000001">
      <c r="A261" s="2"/>
      <c r="B261" s="2" t="e">
        <f>+VLOOKUP(Tabla3568[[#This Row],[Code]],Tabla35[#All],2,0)</f>
        <v>#N/A</v>
      </c>
      <c r="C261" s="11"/>
      <c r="D261" s="38"/>
      <c r="E261" s="2"/>
    </row>
    <row r="262" spans="1:5" ht="18.600000000000001">
      <c r="A262" s="2"/>
      <c r="B262" s="2" t="e">
        <f>+VLOOKUP(Tabla3568[[#This Row],[Code]],Tabla35[#All],2,0)</f>
        <v>#N/A</v>
      </c>
      <c r="C262" s="11"/>
      <c r="D262" s="38"/>
      <c r="E262" s="2"/>
    </row>
    <row r="263" spans="1:5" ht="18.600000000000001">
      <c r="A263" s="2"/>
      <c r="B263" s="2" t="e">
        <f>+VLOOKUP(Tabla3568[[#This Row],[Code]],Tabla35[#All],2,0)</f>
        <v>#N/A</v>
      </c>
      <c r="C263" s="11"/>
      <c r="D263" s="38"/>
      <c r="E263" s="2"/>
    </row>
    <row r="264" spans="1:5" ht="18.600000000000001">
      <c r="A264" s="2"/>
      <c r="B264" s="2" t="e">
        <f>+VLOOKUP(Tabla3568[[#This Row],[Code]],Tabla35[#All],2,0)</f>
        <v>#N/A</v>
      </c>
      <c r="C264" s="11"/>
      <c r="D264" s="38"/>
      <c r="E264" s="2"/>
    </row>
    <row r="265" spans="1:5" ht="18.600000000000001">
      <c r="A265" s="2"/>
      <c r="B265" s="2" t="e">
        <f>+VLOOKUP(Tabla3568[[#This Row],[Code]],Tabla35[#All],2,0)</f>
        <v>#N/A</v>
      </c>
      <c r="C265" s="11"/>
      <c r="D265" s="38"/>
      <c r="E265" s="2"/>
    </row>
    <row r="266" spans="1:5" ht="18.600000000000001">
      <c r="A266" s="2"/>
      <c r="B266" s="2" t="e">
        <f>+VLOOKUP(Tabla3568[[#This Row],[Code]],Tabla35[#All],2,0)</f>
        <v>#N/A</v>
      </c>
      <c r="C266" s="11"/>
      <c r="D266" s="38"/>
      <c r="E266" s="2"/>
    </row>
    <row r="267" spans="1:5" ht="18.600000000000001">
      <c r="A267" s="2"/>
      <c r="B267" s="2" t="e">
        <f>+VLOOKUP(Tabla3568[[#This Row],[Code]],Tabla35[#All],2,0)</f>
        <v>#N/A</v>
      </c>
      <c r="C267" s="11"/>
      <c r="D267" s="38"/>
      <c r="E267" s="2"/>
    </row>
    <row r="268" spans="1:5" ht="18.600000000000001">
      <c r="A268" s="2"/>
      <c r="B268" s="2" t="e">
        <f>+VLOOKUP(Tabla3568[[#This Row],[Code]],Tabla35[#All],2,0)</f>
        <v>#N/A</v>
      </c>
      <c r="C268" s="11"/>
      <c r="D268" s="38"/>
      <c r="E268" s="2"/>
    </row>
    <row r="269" spans="1:5" ht="18.600000000000001">
      <c r="A269" s="2"/>
      <c r="B269" s="2" t="e">
        <f>+VLOOKUP(Tabla3568[[#This Row],[Code]],Tabla35[#All],2,0)</f>
        <v>#N/A</v>
      </c>
      <c r="C269" s="11"/>
      <c r="D269" s="38"/>
      <c r="E269" s="2"/>
    </row>
    <row r="270" spans="1:5" ht="18.600000000000001">
      <c r="A270" s="2"/>
      <c r="B270" s="2" t="e">
        <f>+VLOOKUP(Tabla3568[[#This Row],[Code]],Tabla35[#All],2,0)</f>
        <v>#N/A</v>
      </c>
      <c r="C270" s="11"/>
      <c r="D270" s="38"/>
      <c r="E270" s="2"/>
    </row>
    <row r="271" spans="1:5" ht="18.600000000000001">
      <c r="A271" s="2"/>
      <c r="B271" s="2" t="e">
        <f>+VLOOKUP(Tabla3568[[#This Row],[Code]],Tabla35[#All],2,0)</f>
        <v>#N/A</v>
      </c>
      <c r="C271" s="11"/>
      <c r="D271" s="38"/>
      <c r="E271" s="2"/>
    </row>
    <row r="272" spans="1:5" ht="18.600000000000001">
      <c r="A272" s="2"/>
      <c r="B272" s="2" t="e">
        <f>+VLOOKUP(Tabla3568[[#This Row],[Code]],Tabla35[#All],2,0)</f>
        <v>#N/A</v>
      </c>
      <c r="C272" s="11"/>
      <c r="D272" s="38"/>
      <c r="E272" s="2"/>
    </row>
    <row r="273" spans="1:5" ht="18.600000000000001">
      <c r="A273" s="2"/>
      <c r="B273" s="2" t="e">
        <f>+VLOOKUP(Tabla3568[[#This Row],[Code]],Tabla35[#All],2,0)</f>
        <v>#N/A</v>
      </c>
      <c r="C273" s="11"/>
      <c r="D273" s="38"/>
      <c r="E273" s="2"/>
    </row>
    <row r="274" spans="1:5" ht="18.600000000000001">
      <c r="A274" s="2"/>
      <c r="B274" s="2" t="e">
        <f>+VLOOKUP(Tabla3568[[#This Row],[Code]],Tabla35[#All],2,0)</f>
        <v>#N/A</v>
      </c>
      <c r="C274" s="11"/>
      <c r="D274" s="38"/>
      <c r="E274" s="2"/>
    </row>
    <row r="275" spans="1:5" ht="18.600000000000001">
      <c r="A275" s="2"/>
      <c r="B275" s="2" t="e">
        <f>+VLOOKUP(Tabla3568[[#This Row],[Code]],Tabla35[#All],2,0)</f>
        <v>#N/A</v>
      </c>
      <c r="C275" s="11"/>
      <c r="D275" s="38"/>
      <c r="E275" s="2"/>
    </row>
    <row r="276" spans="1:5" ht="18.600000000000001">
      <c r="A276" s="2"/>
      <c r="B276" s="2" t="e">
        <f>+VLOOKUP(Tabla3568[[#This Row],[Code]],Tabla35[#All],2,0)</f>
        <v>#N/A</v>
      </c>
      <c r="C276" s="11"/>
      <c r="D276" s="38"/>
      <c r="E276" s="2"/>
    </row>
    <row r="277" spans="1:5" ht="18.600000000000001">
      <c r="A277" s="2"/>
      <c r="B277" s="2" t="e">
        <f>+VLOOKUP(Tabla3568[[#This Row],[Code]],Tabla35[#All],2,0)</f>
        <v>#N/A</v>
      </c>
      <c r="C277" s="11"/>
      <c r="D277" s="38"/>
      <c r="E277" s="2"/>
    </row>
    <row r="278" spans="1:5" ht="18.600000000000001">
      <c r="A278" s="2"/>
      <c r="B278" s="2" t="e">
        <f>+VLOOKUP(Tabla3568[[#This Row],[Code]],Tabla35[#All],2,0)</f>
        <v>#N/A</v>
      </c>
      <c r="C278" s="11"/>
      <c r="D278" s="38"/>
      <c r="E278" s="2"/>
    </row>
    <row r="279" spans="1:5" ht="18.600000000000001">
      <c r="A279" s="2"/>
      <c r="B279" s="2" t="e">
        <f>+VLOOKUP(Tabla3568[[#This Row],[Code]],Tabla35[#All],2,0)</f>
        <v>#N/A</v>
      </c>
      <c r="C279" s="11"/>
      <c r="D279" s="38"/>
      <c r="E279" s="2"/>
    </row>
    <row r="280" spans="1:5" ht="18.600000000000001">
      <c r="A280" s="2"/>
      <c r="B280" s="2" t="e">
        <f>+VLOOKUP(Tabla3568[[#This Row],[Code]],Tabla35[#All],2,0)</f>
        <v>#N/A</v>
      </c>
      <c r="C280" s="11"/>
      <c r="D280" s="38"/>
      <c r="E280" s="2"/>
    </row>
    <row r="281" spans="1:5" ht="18.600000000000001">
      <c r="A281" s="2"/>
      <c r="B281" s="2" t="e">
        <f>+VLOOKUP(Tabla3568[[#This Row],[Code]],Tabla35[#All],2,0)</f>
        <v>#N/A</v>
      </c>
      <c r="C281" s="11"/>
      <c r="D281" s="38"/>
      <c r="E281" s="2"/>
    </row>
    <row r="282" spans="1:5" ht="18.600000000000001">
      <c r="A282" s="2"/>
      <c r="B282" s="2" t="e">
        <f>+VLOOKUP(Tabla3568[[#This Row],[Code]],Tabla35[#All],2,0)</f>
        <v>#N/A</v>
      </c>
      <c r="C282" s="11"/>
      <c r="D282" s="38"/>
      <c r="E282" s="2"/>
    </row>
    <row r="283" spans="1:5" ht="18.600000000000001">
      <c r="A283" s="2"/>
      <c r="B283" s="2" t="e">
        <f>+VLOOKUP(Tabla3568[[#This Row],[Code]],Tabla35[#All],2,0)</f>
        <v>#N/A</v>
      </c>
      <c r="C283" s="11"/>
      <c r="D283" s="38"/>
      <c r="E283" s="2"/>
    </row>
    <row r="284" spans="1:5" ht="18.600000000000001">
      <c r="A284" s="2"/>
      <c r="B284" s="2" t="e">
        <f>+VLOOKUP(Tabla3568[[#This Row],[Code]],Tabla35[#All],2,0)</f>
        <v>#N/A</v>
      </c>
      <c r="C284" s="11"/>
      <c r="D284" s="38"/>
      <c r="E284" s="2"/>
    </row>
    <row r="285" spans="1:5" ht="18.600000000000001">
      <c r="A285" s="2"/>
      <c r="B285" s="2" t="e">
        <f>+VLOOKUP(Tabla3568[[#This Row],[Code]],Tabla35[#All],2,0)</f>
        <v>#N/A</v>
      </c>
      <c r="C285" s="11"/>
      <c r="D285" s="38"/>
      <c r="E285" s="2"/>
    </row>
    <row r="286" spans="1:5" ht="18.600000000000001">
      <c r="A286" s="2"/>
      <c r="B286" s="2" t="e">
        <f>+VLOOKUP(Tabla3568[[#This Row],[Code]],Tabla35[#All],2,0)</f>
        <v>#N/A</v>
      </c>
      <c r="C286" s="11"/>
      <c r="D286" s="38"/>
      <c r="E286" s="2"/>
    </row>
    <row r="287" spans="1:5" ht="18.600000000000001">
      <c r="A287" s="2"/>
      <c r="B287" s="2" t="e">
        <f>+VLOOKUP(Tabla3568[[#This Row],[Code]],Tabla35[#All],2,0)</f>
        <v>#N/A</v>
      </c>
      <c r="C287" s="11"/>
      <c r="D287" s="38"/>
      <c r="E287" s="2"/>
    </row>
    <row r="288" spans="1:5" ht="18.600000000000001">
      <c r="A288" s="2"/>
      <c r="B288" s="2" t="e">
        <f>+VLOOKUP(Tabla3568[[#This Row],[Code]],Tabla35[#All],2,0)</f>
        <v>#N/A</v>
      </c>
      <c r="C288" s="11"/>
      <c r="D288" s="38"/>
      <c r="E288" s="2"/>
    </row>
    <row r="289" spans="1:5" ht="18.600000000000001">
      <c r="A289" s="2"/>
      <c r="B289" s="2" t="e">
        <f>+VLOOKUP(Tabla3568[[#This Row],[Code]],Tabla35[#All],2,0)</f>
        <v>#N/A</v>
      </c>
      <c r="C289" s="11"/>
      <c r="D289" s="38"/>
      <c r="E289" s="2"/>
    </row>
    <row r="290" spans="1:5" ht="18.600000000000001">
      <c r="A290" s="2"/>
      <c r="B290" s="2" t="e">
        <f>+VLOOKUP(Tabla3568[[#This Row],[Code]],Tabla35[#All],2,0)</f>
        <v>#N/A</v>
      </c>
      <c r="C290" s="11"/>
      <c r="D290" s="38"/>
      <c r="E290" s="2"/>
    </row>
    <row r="291" spans="1:5" ht="18.600000000000001">
      <c r="A291" s="2"/>
      <c r="B291" s="2" t="e">
        <f>+VLOOKUP(Tabla3568[[#This Row],[Code]],Tabla35[#All],2,0)</f>
        <v>#N/A</v>
      </c>
      <c r="C291" s="11"/>
      <c r="D291" s="38"/>
      <c r="E291" s="2"/>
    </row>
    <row r="292" spans="1:5" ht="18.600000000000001">
      <c r="A292" s="2"/>
      <c r="B292" s="2" t="e">
        <f>+VLOOKUP(Tabla3568[[#This Row],[Code]],Tabla35[#All],2,0)</f>
        <v>#N/A</v>
      </c>
      <c r="C292" s="11"/>
      <c r="D292" s="38"/>
      <c r="E292" s="2"/>
    </row>
    <row r="293" spans="1:5" ht="18.600000000000001">
      <c r="A293" s="2"/>
      <c r="B293" s="2" t="e">
        <f>+VLOOKUP(Tabla3568[[#This Row],[Code]],Tabla35[#All],2,0)</f>
        <v>#N/A</v>
      </c>
      <c r="C293" s="11"/>
      <c r="D293" s="38"/>
      <c r="E293" s="2"/>
    </row>
    <row r="294" spans="1:5" ht="18.600000000000001">
      <c r="A294" s="2"/>
      <c r="B294" s="2" t="e">
        <f>+VLOOKUP(Tabla3568[[#This Row],[Code]],Tabla35[#All],2,0)</f>
        <v>#N/A</v>
      </c>
      <c r="C294" s="11"/>
      <c r="D294" s="38"/>
      <c r="E294" s="2"/>
    </row>
    <row r="295" spans="1:5" ht="18.600000000000001">
      <c r="A295" s="2"/>
      <c r="B295" s="2" t="e">
        <f>+VLOOKUP(Tabla3568[[#This Row],[Code]],Tabla35[#All],2,0)</f>
        <v>#N/A</v>
      </c>
      <c r="C295" s="11"/>
      <c r="D295" s="38"/>
      <c r="E295" s="2"/>
    </row>
    <row r="296" spans="1:5" ht="18.600000000000001">
      <c r="A296" s="2"/>
      <c r="B296" s="2" t="e">
        <f>+VLOOKUP(Tabla3568[[#This Row],[Code]],Tabla35[#All],2,0)</f>
        <v>#N/A</v>
      </c>
      <c r="C296" s="11"/>
      <c r="D296" s="38"/>
      <c r="E296" s="2"/>
    </row>
    <row r="297" spans="1:5" ht="18.600000000000001">
      <c r="A297" s="2"/>
      <c r="B297" s="2" t="e">
        <f>+VLOOKUP(Tabla3568[[#This Row],[Code]],Tabla35[#All],2,0)</f>
        <v>#N/A</v>
      </c>
      <c r="C297" s="11"/>
      <c r="D297" s="38"/>
      <c r="E297" s="2"/>
    </row>
    <row r="298" spans="1:5" ht="18.600000000000001">
      <c r="A298" s="2"/>
      <c r="B298" s="2" t="e">
        <f>+VLOOKUP(Tabla3568[[#This Row],[Code]],Tabla35[#All],2,0)</f>
        <v>#N/A</v>
      </c>
      <c r="C298" s="11"/>
      <c r="D298" s="38"/>
      <c r="E298" s="2"/>
    </row>
    <row r="299" spans="1:5" ht="18.600000000000001">
      <c r="A299" s="2"/>
      <c r="B299" s="2" t="e">
        <f>+VLOOKUP(Tabla3568[[#This Row],[Code]],Tabla35[#All],2,0)</f>
        <v>#N/A</v>
      </c>
      <c r="C299" s="11"/>
      <c r="D299" s="38"/>
      <c r="E299" s="2"/>
    </row>
    <row r="300" spans="1:5" ht="18.600000000000001">
      <c r="A300" s="2"/>
      <c r="B300" s="2" t="e">
        <f>+VLOOKUP(Tabla3568[[#This Row],[Code]],Tabla35[#All],2,0)</f>
        <v>#N/A</v>
      </c>
      <c r="C300" s="11"/>
      <c r="D300" s="38"/>
      <c r="E300" s="2"/>
    </row>
    <row r="301" spans="1:5" ht="18.600000000000001">
      <c r="A301" s="2"/>
      <c r="B301" s="2" t="e">
        <f>+VLOOKUP(Tabla3568[[#This Row],[Code]],Tabla35[#All],2,0)</f>
        <v>#N/A</v>
      </c>
      <c r="C301" s="11"/>
      <c r="D301" s="38"/>
      <c r="E301" s="2"/>
    </row>
    <row r="302" spans="1:5" ht="18.600000000000001">
      <c r="A302" s="2"/>
      <c r="B302" s="2" t="e">
        <f>+VLOOKUP(Tabla3568[[#This Row],[Code]],Tabla35[#All],2,0)</f>
        <v>#N/A</v>
      </c>
      <c r="C302" s="11"/>
      <c r="D302" s="38"/>
      <c r="E302" s="2"/>
    </row>
    <row r="303" spans="1:5" ht="18.600000000000001">
      <c r="A303" s="2"/>
      <c r="B303" s="2" t="e">
        <f>+VLOOKUP(Tabla3568[[#This Row],[Code]],Tabla35[#All],2,0)</f>
        <v>#N/A</v>
      </c>
      <c r="C303" s="11"/>
      <c r="D303" s="38"/>
      <c r="E303" s="2"/>
    </row>
    <row r="304" spans="1:5" ht="18.600000000000001">
      <c r="A304" s="2"/>
      <c r="B304" s="2" t="e">
        <f>+VLOOKUP(Tabla3568[[#This Row],[Code]],Tabla35[#All],2,0)</f>
        <v>#N/A</v>
      </c>
      <c r="C304" s="11"/>
      <c r="D304" s="38"/>
      <c r="E304" s="2"/>
    </row>
    <row r="305" spans="1:5" ht="18.600000000000001">
      <c r="A305" s="2"/>
      <c r="B305" s="2" t="e">
        <f>+VLOOKUP(Tabla3568[[#This Row],[Code]],Tabla35[#All],2,0)</f>
        <v>#N/A</v>
      </c>
      <c r="C305" s="11"/>
      <c r="D305" s="38"/>
      <c r="E305" s="2"/>
    </row>
    <row r="306" spans="1:5" ht="18.600000000000001">
      <c r="A306" s="2"/>
      <c r="B306" s="2" t="e">
        <f>+VLOOKUP(Tabla3568[[#This Row],[Code]],Tabla35[#All],2,0)</f>
        <v>#N/A</v>
      </c>
      <c r="C306" s="11"/>
      <c r="D306" s="38"/>
      <c r="E306" s="2"/>
    </row>
    <row r="307" spans="1:5" ht="18.600000000000001">
      <c r="A307" s="2"/>
      <c r="B307" s="2" t="e">
        <f>+VLOOKUP(Tabla3568[[#This Row],[Code]],Tabla35[#All],2,0)</f>
        <v>#N/A</v>
      </c>
      <c r="C307" s="11"/>
      <c r="D307" s="38"/>
      <c r="E307" s="2"/>
    </row>
    <row r="308" spans="1:5" ht="18.600000000000001">
      <c r="A308" s="2"/>
      <c r="B308" s="2" t="e">
        <f>+VLOOKUP(Tabla3568[[#This Row],[Code]],Tabla35[#All],2,0)</f>
        <v>#N/A</v>
      </c>
      <c r="C308" s="11"/>
      <c r="D308" s="38"/>
      <c r="E308" s="2"/>
    </row>
    <row r="309" spans="1:5" ht="18.600000000000001">
      <c r="A309" s="2"/>
      <c r="B309" s="2" t="e">
        <f>+VLOOKUP(Tabla3568[[#This Row],[Code]],Tabla35[#All],2,0)</f>
        <v>#N/A</v>
      </c>
      <c r="C309" s="11"/>
      <c r="D309" s="38"/>
      <c r="E309" s="2"/>
    </row>
    <row r="310" spans="1:5" ht="18.600000000000001">
      <c r="A310" s="2"/>
      <c r="B310" s="2" t="e">
        <f>+VLOOKUP(Tabla3568[[#This Row],[Code]],Tabla35[#All],2,0)</f>
        <v>#N/A</v>
      </c>
      <c r="C310" s="11"/>
      <c r="D310" s="38"/>
      <c r="E310" s="2"/>
    </row>
    <row r="311" spans="1:5" ht="18.600000000000001">
      <c r="A311" s="2"/>
      <c r="B311" s="2" t="e">
        <f>+VLOOKUP(Tabla3568[[#This Row],[Code]],Tabla35[#All],2,0)</f>
        <v>#N/A</v>
      </c>
      <c r="C311" s="11"/>
      <c r="D311" s="38"/>
      <c r="E311" s="2"/>
    </row>
    <row r="312" spans="1:5" ht="18.600000000000001">
      <c r="A312" s="2"/>
      <c r="B312" s="2" t="e">
        <f>+VLOOKUP(Tabla3568[[#This Row],[Code]],Tabla35[#All],2,0)</f>
        <v>#N/A</v>
      </c>
      <c r="C312" s="11"/>
      <c r="D312" s="38"/>
      <c r="E312" s="2"/>
    </row>
    <row r="313" spans="1:5" ht="18.600000000000001">
      <c r="A313" s="2"/>
      <c r="B313" s="2" t="e">
        <f>+VLOOKUP(Tabla3568[[#This Row],[Code]],Tabla35[#All],2,0)</f>
        <v>#N/A</v>
      </c>
      <c r="C313" s="11"/>
      <c r="D313" s="38"/>
      <c r="E313" s="2"/>
    </row>
    <row r="314" spans="1:5" ht="18.600000000000001">
      <c r="A314" s="2"/>
      <c r="B314" s="2" t="e">
        <f>+VLOOKUP(Tabla3568[[#This Row],[Code]],Tabla35[#All],2,0)</f>
        <v>#N/A</v>
      </c>
      <c r="C314" s="11"/>
      <c r="D314" s="38"/>
      <c r="E314" s="2"/>
    </row>
    <row r="315" spans="1:5" ht="18.600000000000001">
      <c r="A315" s="2"/>
      <c r="B315" s="2" t="e">
        <f>+VLOOKUP(Tabla3568[[#This Row],[Code]],Tabla35[#All],2,0)</f>
        <v>#N/A</v>
      </c>
      <c r="C315" s="11"/>
      <c r="D315" s="38"/>
      <c r="E315" s="2"/>
    </row>
    <row r="316" spans="1:5" ht="18.600000000000001">
      <c r="A316" s="2"/>
      <c r="B316" s="2" t="e">
        <f>+VLOOKUP(Tabla3568[[#This Row],[Code]],Tabla35[#All],2,0)</f>
        <v>#N/A</v>
      </c>
      <c r="C316" s="11"/>
      <c r="D316" s="38"/>
      <c r="E316" s="2"/>
    </row>
    <row r="317" spans="1:5" ht="18.600000000000001">
      <c r="A317" s="2"/>
      <c r="B317" s="2" t="e">
        <f>+VLOOKUP(Tabla3568[[#This Row],[Code]],Tabla35[#All],2,0)</f>
        <v>#N/A</v>
      </c>
      <c r="C317" s="11"/>
      <c r="D317" s="38"/>
      <c r="E317" s="2"/>
    </row>
    <row r="318" spans="1:5" ht="18.600000000000001">
      <c r="A318" s="2"/>
      <c r="B318" s="2" t="e">
        <f>+VLOOKUP(Tabla3568[[#This Row],[Code]],Tabla35[#All],2,0)</f>
        <v>#N/A</v>
      </c>
      <c r="C318" s="11"/>
      <c r="D318" s="38"/>
      <c r="E318" s="2"/>
    </row>
    <row r="319" spans="1:5" ht="18.600000000000001">
      <c r="A319" s="2"/>
      <c r="B319" s="2" t="e">
        <f>+VLOOKUP(Tabla3568[[#This Row],[Code]],Tabla35[#All],2,0)</f>
        <v>#N/A</v>
      </c>
      <c r="C319" s="11"/>
      <c r="D319" s="38"/>
      <c r="E319" s="2"/>
    </row>
    <row r="320" spans="1:5" ht="18.600000000000001">
      <c r="A320" s="2"/>
      <c r="B320" s="2" t="e">
        <f>+VLOOKUP(Tabla3568[[#This Row],[Code]],Tabla35[#All],2,0)</f>
        <v>#N/A</v>
      </c>
      <c r="C320" s="11"/>
      <c r="D320" s="38"/>
      <c r="E320" s="2"/>
    </row>
    <row r="321" spans="1:5" ht="18.600000000000001">
      <c r="A321" s="2"/>
      <c r="B321" s="2" t="e">
        <f>+VLOOKUP(Tabla3568[[#This Row],[Code]],Tabla35[#All],2,0)</f>
        <v>#N/A</v>
      </c>
      <c r="C321" s="11"/>
      <c r="D321" s="38"/>
      <c r="E321" s="2"/>
    </row>
    <row r="322" spans="1:5" ht="18.600000000000001">
      <c r="A322" s="2"/>
      <c r="B322" s="2" t="e">
        <f>+VLOOKUP(Tabla3568[[#This Row],[Code]],Tabla35[#All],2,0)</f>
        <v>#N/A</v>
      </c>
      <c r="C322" s="11"/>
      <c r="D322" s="38"/>
      <c r="E322" s="2"/>
    </row>
    <row r="323" spans="1:5" ht="18.600000000000001">
      <c r="A323" s="2"/>
      <c r="B323" s="2" t="e">
        <f>+VLOOKUP(Tabla3568[[#This Row],[Code]],Tabla35[#All],2,0)</f>
        <v>#N/A</v>
      </c>
      <c r="C323" s="11"/>
      <c r="D323" s="38"/>
      <c r="E323" s="2"/>
    </row>
    <row r="324" spans="1:5" ht="18.600000000000001">
      <c r="A324" s="2"/>
      <c r="B324" s="2" t="e">
        <f>+VLOOKUP(Tabla3568[[#This Row],[Code]],Tabla35[#All],2,0)</f>
        <v>#N/A</v>
      </c>
      <c r="C324" s="11"/>
      <c r="D324" s="38"/>
      <c r="E324" s="2"/>
    </row>
    <row r="325" spans="1:5" ht="18.600000000000001">
      <c r="A325" s="2"/>
      <c r="B325" s="2" t="e">
        <f>+VLOOKUP(Tabla3568[[#This Row],[Code]],Tabla35[#All],2,0)</f>
        <v>#N/A</v>
      </c>
      <c r="C325" s="11"/>
      <c r="D325" s="38"/>
      <c r="E325" s="2"/>
    </row>
    <row r="326" spans="1:5" ht="18.600000000000001">
      <c r="A326" s="2"/>
      <c r="B326" s="2" t="e">
        <f>+VLOOKUP(Tabla3568[[#This Row],[Code]],Tabla35[#All],2,0)</f>
        <v>#N/A</v>
      </c>
      <c r="C326" s="11"/>
      <c r="D326" s="38"/>
      <c r="E326" s="2"/>
    </row>
    <row r="327" spans="1:5" ht="18.600000000000001">
      <c r="A327" s="2"/>
      <c r="B327" s="2" t="e">
        <f>+VLOOKUP(Tabla3568[[#This Row],[Code]],Tabla35[#All],2,0)</f>
        <v>#N/A</v>
      </c>
      <c r="C327" s="11"/>
      <c r="D327" s="38"/>
      <c r="E327" s="2"/>
    </row>
    <row r="328" spans="1:5" ht="18.600000000000001">
      <c r="A328" s="2"/>
      <c r="B328" s="2" t="e">
        <f>+VLOOKUP(Tabla3568[[#This Row],[Code]],Tabla35[#All],2,0)</f>
        <v>#N/A</v>
      </c>
      <c r="C328" s="11"/>
      <c r="D328" s="38"/>
      <c r="E328" s="2"/>
    </row>
    <row r="329" spans="1:5" ht="18.600000000000001">
      <c r="A329" s="2"/>
      <c r="B329" s="2" t="e">
        <f>+VLOOKUP(Tabla3568[[#This Row],[Code]],Tabla35[#All],2,0)</f>
        <v>#N/A</v>
      </c>
      <c r="C329" s="11"/>
      <c r="D329" s="38"/>
      <c r="E329" s="2"/>
    </row>
    <row r="330" spans="1:5" ht="18.600000000000001">
      <c r="A330" s="2"/>
      <c r="B330" s="2" t="e">
        <f>+VLOOKUP(Tabla3568[[#This Row],[Code]],Tabla35[#All],2,0)</f>
        <v>#N/A</v>
      </c>
      <c r="C330" s="11"/>
      <c r="D330" s="38"/>
      <c r="E330" s="2"/>
    </row>
    <row r="331" spans="1:5" ht="18.600000000000001">
      <c r="A331" s="2"/>
      <c r="B331" s="2" t="e">
        <f>+VLOOKUP(Tabla3568[[#This Row],[Code]],Tabla35[#All],2,0)</f>
        <v>#N/A</v>
      </c>
      <c r="C331" s="11"/>
      <c r="D331" s="38"/>
      <c r="E331" s="2"/>
    </row>
    <row r="332" spans="1:5" ht="18.600000000000001">
      <c r="A332" s="2"/>
      <c r="B332" s="2" t="e">
        <f>+VLOOKUP(Tabla3568[[#This Row],[Code]],Tabla35[#All],2,0)</f>
        <v>#N/A</v>
      </c>
      <c r="C332" s="11"/>
      <c r="D332" s="38"/>
      <c r="E332" s="2"/>
    </row>
    <row r="333" spans="1:5" ht="18.600000000000001">
      <c r="A333" s="2"/>
      <c r="B333" s="2" t="e">
        <f>+VLOOKUP(Tabla3568[[#This Row],[Code]],Tabla35[#All],2,0)</f>
        <v>#N/A</v>
      </c>
      <c r="C333" s="11"/>
      <c r="D333" s="38"/>
      <c r="E333" s="2"/>
    </row>
    <row r="334" spans="1:5" ht="18.600000000000001">
      <c r="A334" s="2"/>
      <c r="B334" s="2" t="e">
        <f>+VLOOKUP(Tabla3568[[#This Row],[Code]],Tabla35[#All],2,0)</f>
        <v>#N/A</v>
      </c>
      <c r="C334" s="11"/>
      <c r="D334" s="38"/>
      <c r="E334" s="2"/>
    </row>
    <row r="335" spans="1:5" ht="18.600000000000001">
      <c r="A335" s="2"/>
      <c r="B335" s="2" t="e">
        <f>+VLOOKUP(Tabla3568[[#This Row],[Code]],Tabla35[#All],2,0)</f>
        <v>#N/A</v>
      </c>
      <c r="C335" s="11"/>
      <c r="D335" s="38"/>
      <c r="E335" s="2"/>
    </row>
    <row r="336" spans="1:5" ht="18.600000000000001">
      <c r="A336" s="2"/>
      <c r="B336" s="2" t="e">
        <f>+VLOOKUP(Tabla3568[[#This Row],[Code]],Tabla35[#All],2,0)</f>
        <v>#N/A</v>
      </c>
      <c r="C336" s="11"/>
      <c r="D336" s="38"/>
      <c r="E336" s="2"/>
    </row>
    <row r="337" spans="1:5" ht="18.600000000000001">
      <c r="A337" s="2"/>
      <c r="B337" s="2" t="e">
        <f>+VLOOKUP(Tabla3568[[#This Row],[Code]],Tabla35[#All],2,0)</f>
        <v>#N/A</v>
      </c>
      <c r="C337" s="11"/>
      <c r="D337" s="38"/>
      <c r="E337" s="2"/>
    </row>
    <row r="338" spans="1:5" ht="18.600000000000001">
      <c r="A338" s="2"/>
      <c r="B338" s="2" t="e">
        <f>+VLOOKUP(Tabla3568[[#This Row],[Code]],Tabla35[#All],2,0)</f>
        <v>#N/A</v>
      </c>
      <c r="C338" s="11"/>
      <c r="D338" s="38"/>
      <c r="E338" s="2"/>
    </row>
    <row r="339" spans="1:5" ht="18.600000000000001">
      <c r="A339" s="2"/>
      <c r="B339" s="2" t="e">
        <f>+VLOOKUP(Tabla3568[[#This Row],[Code]],Tabla35[#All],2,0)</f>
        <v>#N/A</v>
      </c>
      <c r="C339" s="11"/>
      <c r="D339" s="38"/>
      <c r="E339" s="2"/>
    </row>
    <row r="340" spans="1:5" ht="18.600000000000001">
      <c r="A340" s="2"/>
      <c r="B340" s="2" t="e">
        <f>+VLOOKUP(Tabla3568[[#This Row],[Code]],Tabla35[#All],2,0)</f>
        <v>#N/A</v>
      </c>
      <c r="C340" s="11"/>
      <c r="D340" s="38"/>
      <c r="E340" s="2"/>
    </row>
    <row r="341" spans="1:5" ht="18.600000000000001">
      <c r="A341" s="2"/>
      <c r="B341" s="2" t="e">
        <f>+VLOOKUP(Tabla3568[[#This Row],[Code]],Tabla35[#All],2,0)</f>
        <v>#N/A</v>
      </c>
      <c r="C341" s="11"/>
      <c r="D341" s="38"/>
      <c r="E341" s="2"/>
    </row>
    <row r="342" spans="1:5" ht="18.600000000000001">
      <c r="A342" s="2"/>
      <c r="B342" s="2" t="e">
        <f>+VLOOKUP(Tabla3568[[#This Row],[Code]],Tabla35[#All],2,0)</f>
        <v>#N/A</v>
      </c>
      <c r="C342" s="11"/>
      <c r="D342" s="38"/>
      <c r="E342" s="2"/>
    </row>
    <row r="343" spans="1:5" ht="18.600000000000001">
      <c r="A343" s="2"/>
      <c r="B343" s="2" t="e">
        <f>+VLOOKUP(Tabla3568[[#This Row],[Code]],Tabla35[#All],2,0)</f>
        <v>#N/A</v>
      </c>
      <c r="C343" s="11"/>
      <c r="D343" s="38"/>
      <c r="E343" s="2"/>
    </row>
    <row r="344" spans="1:5" ht="18.600000000000001">
      <c r="A344" s="2"/>
      <c r="B344" s="2" t="e">
        <f>+VLOOKUP(Tabla3568[[#This Row],[Code]],Tabla35[#All],2,0)</f>
        <v>#N/A</v>
      </c>
      <c r="C344" s="11"/>
      <c r="D344" s="38"/>
      <c r="E344" s="2"/>
    </row>
    <row r="345" spans="1:5" ht="18.600000000000001">
      <c r="A345" s="2"/>
      <c r="B345" s="2" t="e">
        <f>+VLOOKUP(Tabla3568[[#This Row],[Code]],Tabla35[#All],2,0)</f>
        <v>#N/A</v>
      </c>
      <c r="C345" s="11"/>
      <c r="D345" s="38"/>
      <c r="E345" s="2"/>
    </row>
    <row r="346" spans="1:5" ht="18.600000000000001">
      <c r="A346" s="2"/>
      <c r="B346" s="2" t="e">
        <f>+VLOOKUP(Tabla3568[[#This Row],[Code]],Tabla35[#All],2,0)</f>
        <v>#N/A</v>
      </c>
      <c r="C346" s="11"/>
      <c r="D346" s="38"/>
      <c r="E346" s="2"/>
    </row>
    <row r="347" spans="1:5" ht="18.600000000000001">
      <c r="A347" s="2"/>
      <c r="B347" s="2" t="e">
        <f>+VLOOKUP(Tabla3568[[#This Row],[Code]],Tabla35[#All],2,0)</f>
        <v>#N/A</v>
      </c>
      <c r="C347" s="11"/>
      <c r="D347" s="38"/>
      <c r="E347" s="2"/>
    </row>
    <row r="348" spans="1:5" ht="18.600000000000001">
      <c r="A348" s="2"/>
      <c r="B348" s="2" t="e">
        <f>+VLOOKUP(Tabla3568[[#This Row],[Code]],Tabla35[#All],2,0)</f>
        <v>#N/A</v>
      </c>
      <c r="C348" s="11"/>
      <c r="D348" s="38"/>
      <c r="E348" s="2"/>
    </row>
    <row r="349" spans="1:5" ht="18.600000000000001">
      <c r="A349" s="2"/>
      <c r="B349" s="2" t="e">
        <f>+VLOOKUP(Tabla3568[[#This Row],[Code]],Tabla35[#All],2,0)</f>
        <v>#N/A</v>
      </c>
      <c r="C349" s="11"/>
      <c r="D349" s="38"/>
      <c r="E349" s="2"/>
    </row>
    <row r="350" spans="1:5" ht="18.600000000000001">
      <c r="A350" s="2"/>
      <c r="B350" s="2" t="e">
        <f>+VLOOKUP(Tabla3568[[#This Row],[Code]],Tabla35[#All],2,0)</f>
        <v>#N/A</v>
      </c>
      <c r="C350" s="11"/>
      <c r="D350" s="38"/>
      <c r="E350" s="2"/>
    </row>
    <row r="351" spans="1:5" ht="18.600000000000001">
      <c r="A351" s="2"/>
      <c r="B351" s="2" t="e">
        <f>+VLOOKUP(Tabla3568[[#This Row],[Code]],Tabla35[#All],2,0)</f>
        <v>#N/A</v>
      </c>
      <c r="C351" s="11"/>
      <c r="D351" s="38"/>
      <c r="E351" s="2"/>
    </row>
    <row r="352" spans="1:5" ht="18.600000000000001">
      <c r="A352" s="2"/>
      <c r="B352" s="2" t="e">
        <f>+VLOOKUP(Tabla3568[[#This Row],[Code]],Tabla35[#All],2,0)</f>
        <v>#N/A</v>
      </c>
      <c r="C352" s="11"/>
      <c r="D352" s="38"/>
      <c r="E352" s="2"/>
    </row>
    <row r="353" spans="1:5" ht="18.600000000000001">
      <c r="A353" s="2"/>
      <c r="B353" s="2" t="e">
        <f>+VLOOKUP(Tabla3568[[#This Row],[Code]],Tabla35[#All],2,0)</f>
        <v>#N/A</v>
      </c>
      <c r="C353" s="11"/>
      <c r="D353" s="38"/>
      <c r="E353" s="2"/>
    </row>
    <row r="354" spans="1:5" ht="18.600000000000001">
      <c r="A354" s="2"/>
      <c r="B354" s="2" t="e">
        <f>+VLOOKUP(Tabla3568[[#This Row],[Code]],Tabla35[#All],2,0)</f>
        <v>#N/A</v>
      </c>
      <c r="C354" s="11"/>
      <c r="D354" s="38"/>
      <c r="E354" s="2"/>
    </row>
    <row r="355" spans="1:5" ht="18.600000000000001">
      <c r="A355" s="2"/>
      <c r="B355" s="2" t="e">
        <f>+VLOOKUP(Tabla3568[[#This Row],[Code]],Tabla35[#All],2,0)</f>
        <v>#N/A</v>
      </c>
      <c r="C355" s="11"/>
      <c r="D355" s="38"/>
      <c r="E355" s="2"/>
    </row>
    <row r="356" spans="1:5" ht="18.600000000000001">
      <c r="A356" s="2"/>
      <c r="B356" s="2" t="e">
        <f>+VLOOKUP(Tabla3568[[#This Row],[Code]],Tabla35[#All],2,0)</f>
        <v>#N/A</v>
      </c>
      <c r="C356" s="11"/>
      <c r="D356" s="38"/>
      <c r="E356" s="2"/>
    </row>
    <row r="357" spans="1:5" ht="18.600000000000001">
      <c r="A357" s="2"/>
      <c r="B357" s="2" t="e">
        <f>+VLOOKUP(Tabla3568[[#This Row],[Code]],Tabla35[#All],2,0)</f>
        <v>#N/A</v>
      </c>
      <c r="C357" s="11"/>
      <c r="D357" s="38"/>
      <c r="E357" s="2"/>
    </row>
    <row r="358" spans="1:5" ht="18.600000000000001">
      <c r="A358" s="2"/>
      <c r="B358" s="2" t="e">
        <f>+VLOOKUP(Tabla3568[[#This Row],[Code]],Tabla35[#All],2,0)</f>
        <v>#N/A</v>
      </c>
      <c r="C358" s="11"/>
      <c r="D358" s="38"/>
      <c r="E358" s="2"/>
    </row>
    <row r="359" spans="1:5" ht="18.600000000000001">
      <c r="A359" s="2"/>
      <c r="B359" s="2" t="e">
        <f>+VLOOKUP(Tabla3568[[#This Row],[Code]],Tabla35[#All],2,0)</f>
        <v>#N/A</v>
      </c>
      <c r="C359" s="11"/>
      <c r="D359" s="38"/>
      <c r="E359" s="2"/>
    </row>
    <row r="360" spans="1:5" ht="18.600000000000001">
      <c r="A360" s="2"/>
      <c r="B360" s="2" t="e">
        <f>+VLOOKUP(Tabla3568[[#This Row],[Code]],Tabla35[#All],2,0)</f>
        <v>#N/A</v>
      </c>
      <c r="C360" s="11"/>
      <c r="D360" s="38"/>
      <c r="E360" s="2"/>
    </row>
    <row r="361" spans="1:5" ht="18.600000000000001">
      <c r="A361" s="2"/>
      <c r="B361" s="2" t="e">
        <f>+VLOOKUP(Tabla3568[[#This Row],[Code]],Tabla35[#All],2,0)</f>
        <v>#N/A</v>
      </c>
      <c r="C361" s="11"/>
      <c r="D361" s="38"/>
      <c r="E361" s="2"/>
    </row>
    <row r="362" spans="1:5" ht="18.600000000000001">
      <c r="A362" s="2"/>
      <c r="B362" s="2" t="e">
        <f>+VLOOKUP(Tabla3568[[#This Row],[Code]],Tabla35[#All],2,0)</f>
        <v>#N/A</v>
      </c>
      <c r="C362" s="11"/>
      <c r="D362" s="38"/>
      <c r="E362" s="2"/>
    </row>
    <row r="363" spans="1:5" ht="18.600000000000001">
      <c r="A363" s="2"/>
      <c r="B363" s="2" t="e">
        <f>+VLOOKUP(Tabla3568[[#This Row],[Code]],Tabla35[#All],2,0)</f>
        <v>#N/A</v>
      </c>
      <c r="C363" s="11"/>
      <c r="D363" s="38"/>
      <c r="E363" s="2"/>
    </row>
    <row r="364" spans="1:5" ht="18.600000000000001">
      <c r="A364" s="2"/>
      <c r="B364" s="2" t="e">
        <f>+VLOOKUP(Tabla3568[[#This Row],[Code]],Tabla35[#All],2,0)</f>
        <v>#N/A</v>
      </c>
      <c r="C364" s="11"/>
      <c r="D364" s="38"/>
      <c r="E364" s="2"/>
    </row>
    <row r="365" spans="1:5" ht="18.600000000000001">
      <c r="A365" s="2"/>
      <c r="B365" s="2" t="e">
        <f>+VLOOKUP(Tabla3568[[#This Row],[Code]],Tabla35[#All],2,0)</f>
        <v>#N/A</v>
      </c>
      <c r="C365" s="11"/>
      <c r="D365" s="38"/>
      <c r="E365" s="2"/>
    </row>
    <row r="366" spans="1:5" ht="18.600000000000001">
      <c r="A366" s="2"/>
      <c r="B366" s="2" t="e">
        <f>+VLOOKUP(Tabla3568[[#This Row],[Code]],Tabla35[#All],2,0)</f>
        <v>#N/A</v>
      </c>
      <c r="C366" s="11"/>
      <c r="D366" s="38"/>
      <c r="E366" s="2"/>
    </row>
    <row r="367" spans="1:5" ht="18.600000000000001">
      <c r="A367" s="2"/>
      <c r="B367" s="2" t="e">
        <f>+VLOOKUP(Tabla3568[[#This Row],[Code]],Tabla35[#All],2,0)</f>
        <v>#N/A</v>
      </c>
      <c r="C367" s="11"/>
      <c r="D367" s="38"/>
      <c r="E367" s="2"/>
    </row>
    <row r="368" spans="1:5" ht="18.600000000000001">
      <c r="A368" s="2"/>
      <c r="B368" s="2" t="e">
        <f>+VLOOKUP(Tabla3568[[#This Row],[Code]],Tabla35[#All],2,0)</f>
        <v>#N/A</v>
      </c>
      <c r="C368" s="11"/>
      <c r="D368" s="38"/>
      <c r="E368" s="2"/>
    </row>
    <row r="369" spans="1:5" ht="18.600000000000001">
      <c r="A369" s="2"/>
      <c r="B369" s="2" t="e">
        <f>+VLOOKUP(Tabla3568[[#This Row],[Code]],Tabla35[#All],2,0)</f>
        <v>#N/A</v>
      </c>
      <c r="C369" s="11"/>
      <c r="D369" s="38"/>
      <c r="E369" s="2"/>
    </row>
    <row r="370" spans="1:5" ht="18.600000000000001">
      <c r="A370" s="2"/>
      <c r="B370" s="2" t="e">
        <f>+VLOOKUP(Tabla3568[[#This Row],[Code]],Tabla35[#All],2,0)</f>
        <v>#N/A</v>
      </c>
      <c r="C370" s="11"/>
      <c r="D370" s="38"/>
      <c r="E370" s="2"/>
    </row>
    <row r="371" spans="1:5" ht="18.600000000000001">
      <c r="A371" s="2"/>
      <c r="B371" s="2" t="e">
        <f>+VLOOKUP(Tabla3568[[#This Row],[Code]],Tabla35[#All],2,0)</f>
        <v>#N/A</v>
      </c>
      <c r="C371" s="11"/>
      <c r="D371" s="38"/>
      <c r="E371" s="2"/>
    </row>
    <row r="372" spans="1:5" ht="18.600000000000001">
      <c r="A372" s="2"/>
      <c r="B372" s="2" t="e">
        <f>+VLOOKUP(Tabla3568[[#This Row],[Code]],Tabla35[#All],2,0)</f>
        <v>#N/A</v>
      </c>
      <c r="C372" s="11"/>
      <c r="D372" s="38"/>
      <c r="E372" s="2"/>
    </row>
    <row r="373" spans="1:5" ht="18.600000000000001">
      <c r="A373" s="2"/>
      <c r="B373" s="2" t="e">
        <f>+VLOOKUP(Tabla3568[[#This Row],[Code]],Tabla35[#All],2,0)</f>
        <v>#N/A</v>
      </c>
      <c r="C373" s="11"/>
      <c r="D373" s="38"/>
      <c r="E373" s="2"/>
    </row>
    <row r="374" spans="1:5" ht="18.600000000000001">
      <c r="A374" s="2"/>
      <c r="B374" s="2" t="e">
        <f>+VLOOKUP(Tabla3568[[#This Row],[Code]],Tabla35[#All],2,0)</f>
        <v>#N/A</v>
      </c>
      <c r="C374" s="11"/>
      <c r="D374" s="38"/>
      <c r="E374" s="2"/>
    </row>
    <row r="375" spans="1:5" ht="18.600000000000001">
      <c r="A375" s="2"/>
      <c r="B375" s="2" t="e">
        <f>+VLOOKUP(Tabla3568[[#This Row],[Code]],Tabla35[#All],2,0)</f>
        <v>#N/A</v>
      </c>
      <c r="C375" s="11"/>
      <c r="D375" s="38"/>
      <c r="E375" s="2"/>
    </row>
    <row r="376" spans="1:5" ht="18.600000000000001">
      <c r="A376" s="2"/>
      <c r="B376" s="2" t="e">
        <f>+VLOOKUP(Tabla3568[[#This Row],[Code]],Tabla35[#All],2,0)</f>
        <v>#N/A</v>
      </c>
      <c r="C376" s="11"/>
      <c r="D376" s="38"/>
      <c r="E376" s="2"/>
    </row>
    <row r="377" spans="1:5" ht="18.600000000000001">
      <c r="A377" s="2"/>
      <c r="B377" s="2" t="e">
        <f>+VLOOKUP(Tabla3568[[#This Row],[Code]],Tabla35[#All],2,0)</f>
        <v>#N/A</v>
      </c>
      <c r="C377" s="11"/>
      <c r="D377" s="38"/>
      <c r="E377" s="2"/>
    </row>
    <row r="378" spans="1:5" ht="18.600000000000001">
      <c r="A378" s="2"/>
      <c r="B378" s="2" t="e">
        <f>+VLOOKUP(Tabla3568[[#This Row],[Code]],Tabla35[#All],2,0)</f>
        <v>#N/A</v>
      </c>
      <c r="C378" s="11"/>
      <c r="D378" s="38"/>
      <c r="E378" s="2"/>
    </row>
    <row r="379" spans="1:5" ht="18.600000000000001">
      <c r="A379" s="2"/>
      <c r="B379" s="2" t="e">
        <f>+VLOOKUP(Tabla3568[[#This Row],[Code]],Tabla35[#All],2,0)</f>
        <v>#N/A</v>
      </c>
      <c r="C379" s="11"/>
      <c r="D379" s="38"/>
      <c r="E379" s="2"/>
    </row>
    <row r="380" spans="1:5" ht="18.600000000000001">
      <c r="A380" s="2"/>
      <c r="B380" s="2" t="e">
        <f>+VLOOKUP(Tabla3568[[#This Row],[Code]],Tabla35[#All],2,0)</f>
        <v>#N/A</v>
      </c>
      <c r="C380" s="11"/>
      <c r="D380" s="38"/>
      <c r="E380" s="2"/>
    </row>
    <row r="381" spans="1:5" ht="18.600000000000001">
      <c r="A381" s="2"/>
      <c r="B381" s="2" t="e">
        <f>+VLOOKUP(Tabla3568[[#This Row],[Code]],Tabla35[#All],2,0)</f>
        <v>#N/A</v>
      </c>
      <c r="C381" s="11"/>
      <c r="D381" s="38"/>
      <c r="E381" s="2"/>
    </row>
    <row r="382" spans="1:5" ht="18.600000000000001">
      <c r="A382" s="2"/>
      <c r="B382" s="2" t="e">
        <f>+VLOOKUP(Tabla3568[[#This Row],[Code]],Tabla35[#All],2,0)</f>
        <v>#N/A</v>
      </c>
      <c r="C382" s="11"/>
      <c r="D382" s="38"/>
      <c r="E382" s="2"/>
    </row>
    <row r="383" spans="1:5" ht="18.600000000000001">
      <c r="A383" s="2"/>
      <c r="B383" s="2" t="e">
        <f>+VLOOKUP(Tabla3568[[#This Row],[Code]],Tabla35[#All],2,0)</f>
        <v>#N/A</v>
      </c>
      <c r="C383" s="11"/>
      <c r="D383" s="38"/>
      <c r="E383" s="2"/>
    </row>
    <row r="384" spans="1:5" ht="18.600000000000001">
      <c r="A384" s="2"/>
      <c r="B384" s="2" t="e">
        <f>+VLOOKUP(Tabla3568[[#This Row],[Code]],Tabla35[#All],2,0)</f>
        <v>#N/A</v>
      </c>
      <c r="C384" s="11"/>
      <c r="D384" s="38"/>
      <c r="E384" s="2"/>
    </row>
    <row r="385" spans="1:5" ht="18.600000000000001">
      <c r="A385" s="2"/>
      <c r="B385" s="2" t="e">
        <f>+VLOOKUP(Tabla3568[[#This Row],[Code]],Tabla35[#All],2,0)</f>
        <v>#N/A</v>
      </c>
      <c r="C385" s="11"/>
      <c r="D385" s="38"/>
      <c r="E385" s="2"/>
    </row>
    <row r="386" spans="1:5" ht="18.600000000000001">
      <c r="A386" s="2"/>
      <c r="B386" s="2" t="e">
        <f>+VLOOKUP(Tabla3568[[#This Row],[Code]],Tabla35[#All],2,0)</f>
        <v>#N/A</v>
      </c>
      <c r="C386" s="11"/>
      <c r="D386" s="38"/>
      <c r="E386" s="2"/>
    </row>
    <row r="387" spans="1:5" ht="18.600000000000001">
      <c r="A387" s="2"/>
      <c r="B387" s="2" t="e">
        <f>+VLOOKUP(Tabla3568[[#This Row],[Code]],Tabla35[#All],2,0)</f>
        <v>#N/A</v>
      </c>
      <c r="C387" s="11"/>
      <c r="D387" s="38"/>
      <c r="E387" s="2"/>
    </row>
    <row r="388" spans="1:5" ht="18.600000000000001">
      <c r="A388" s="2"/>
      <c r="B388" s="2" t="e">
        <f>+VLOOKUP(Tabla3568[[#This Row],[Code]],Tabla35[#All],2,0)</f>
        <v>#N/A</v>
      </c>
      <c r="C388" s="11"/>
      <c r="D388" s="38"/>
      <c r="E388" s="2"/>
    </row>
    <row r="389" spans="1:5" ht="18.600000000000001">
      <c r="A389" s="2"/>
      <c r="B389" s="2" t="e">
        <f>+VLOOKUP(Tabla3568[[#This Row],[Code]],Tabla35[#All],2,0)</f>
        <v>#N/A</v>
      </c>
      <c r="C389" s="11"/>
      <c r="D389" s="38"/>
      <c r="E389" s="2"/>
    </row>
    <row r="390" spans="1:5" ht="18.600000000000001">
      <c r="A390" s="2"/>
      <c r="B390" s="2" t="e">
        <f>+VLOOKUP(Tabla3568[[#This Row],[Code]],Tabla35[#All],2,0)</f>
        <v>#N/A</v>
      </c>
      <c r="C390" s="11"/>
      <c r="D390" s="38"/>
      <c r="E390" s="2"/>
    </row>
    <row r="391" spans="1:5" ht="18.600000000000001">
      <c r="A391" s="2"/>
      <c r="B391" s="2" t="e">
        <f>+VLOOKUP(Tabla3568[[#This Row],[Code]],Tabla35[#All],2,0)</f>
        <v>#N/A</v>
      </c>
      <c r="C391" s="11"/>
      <c r="D391" s="38"/>
      <c r="E391" s="2"/>
    </row>
    <row r="392" spans="1:5" ht="18.600000000000001">
      <c r="A392" s="2"/>
      <c r="B392" s="2" t="e">
        <f>+VLOOKUP(Tabla3568[[#This Row],[Code]],Tabla35[#All],2,0)</f>
        <v>#N/A</v>
      </c>
      <c r="C392" s="11"/>
      <c r="D392" s="38"/>
      <c r="E392" s="2"/>
    </row>
    <row r="393" spans="1:5" ht="18.600000000000001">
      <c r="A393" s="2"/>
      <c r="B393" s="2" t="e">
        <f>+VLOOKUP(Tabla3568[[#This Row],[Code]],Tabla35[#All],2,0)</f>
        <v>#N/A</v>
      </c>
      <c r="C393" s="11"/>
      <c r="D393" s="38"/>
      <c r="E393" s="2"/>
    </row>
    <row r="394" spans="1:5" ht="18.600000000000001">
      <c r="A394" s="2"/>
      <c r="B394" s="2" t="e">
        <f>+VLOOKUP(Tabla3568[[#This Row],[Code]],Tabla35[#All],2,0)</f>
        <v>#N/A</v>
      </c>
      <c r="C394" s="11"/>
      <c r="D394" s="38"/>
      <c r="E394" s="2"/>
    </row>
    <row r="395" spans="1:5" ht="18.600000000000001">
      <c r="A395" s="2"/>
      <c r="B395" s="2" t="e">
        <f>+VLOOKUP(Tabla3568[[#This Row],[Code]],Tabla35[#All],2,0)</f>
        <v>#N/A</v>
      </c>
      <c r="C395" s="11"/>
      <c r="D395" s="38"/>
      <c r="E395" s="2"/>
    </row>
    <row r="396" spans="1:5" ht="18.600000000000001">
      <c r="A396" s="2"/>
      <c r="B396" s="2" t="e">
        <f>+VLOOKUP(Tabla3568[[#This Row],[Code]],Tabla35[#All],2,0)</f>
        <v>#N/A</v>
      </c>
      <c r="C396" s="11"/>
      <c r="D396" s="38"/>
      <c r="E396" s="2"/>
    </row>
    <row r="397" spans="1:5" ht="18.600000000000001">
      <c r="A397" s="2"/>
      <c r="B397" s="2" t="e">
        <f>+VLOOKUP(Tabla3568[[#This Row],[Code]],Tabla35[#All],2,0)</f>
        <v>#N/A</v>
      </c>
      <c r="C397" s="11"/>
      <c r="D397" s="38"/>
      <c r="E397" s="2"/>
    </row>
    <row r="398" spans="1:5" ht="18.600000000000001">
      <c r="A398" s="2"/>
      <c r="B398" s="2" t="e">
        <f>+VLOOKUP(Tabla3568[[#This Row],[Code]],Tabla35[#All],2,0)</f>
        <v>#N/A</v>
      </c>
      <c r="C398" s="11"/>
      <c r="D398" s="38"/>
      <c r="E398" s="2"/>
    </row>
    <row r="399" spans="1:5" ht="18.600000000000001">
      <c r="A399" s="2"/>
      <c r="B399" s="2" t="e">
        <f>+VLOOKUP(Tabla3568[[#This Row],[Code]],Tabla35[#All],2,0)</f>
        <v>#N/A</v>
      </c>
      <c r="C399" s="11"/>
      <c r="D399" s="38"/>
      <c r="E399" s="2"/>
    </row>
    <row r="400" spans="1:5" ht="18.600000000000001">
      <c r="A400" s="2"/>
      <c r="B400" s="2" t="e">
        <f>+VLOOKUP(Tabla3568[[#This Row],[Code]],Tabla35[#All],2,0)</f>
        <v>#N/A</v>
      </c>
      <c r="C400" s="11"/>
      <c r="D400" s="38"/>
      <c r="E400" s="2"/>
    </row>
    <row r="401" spans="1:5" ht="18.600000000000001">
      <c r="A401" s="2"/>
      <c r="B401" s="2" t="e">
        <f>+VLOOKUP(Tabla3568[[#This Row],[Code]],Tabla35[#All],2,0)</f>
        <v>#N/A</v>
      </c>
      <c r="C401" s="11"/>
      <c r="D401" s="38"/>
      <c r="E401" s="2"/>
    </row>
    <row r="402" spans="1:5" ht="18.600000000000001">
      <c r="A402" s="2"/>
      <c r="B402" s="2" t="e">
        <f>+VLOOKUP(Tabla3568[[#This Row],[Code]],Tabla35[#All],2,0)</f>
        <v>#N/A</v>
      </c>
      <c r="C402" s="11"/>
      <c r="D402" s="38"/>
      <c r="E402" s="2"/>
    </row>
    <row r="403" spans="1:5" ht="18.600000000000001">
      <c r="A403" s="2"/>
      <c r="B403" s="2" t="e">
        <f>+VLOOKUP(Tabla3568[[#This Row],[Code]],Tabla35[#All],2,0)</f>
        <v>#N/A</v>
      </c>
      <c r="C403" s="11"/>
      <c r="D403" s="38"/>
      <c r="E403" s="2"/>
    </row>
    <row r="404" spans="1:5" ht="18.600000000000001">
      <c r="A404" s="2"/>
      <c r="B404" s="2" t="e">
        <f>+VLOOKUP(Tabla3568[[#This Row],[Code]],Tabla35[#All],2,0)</f>
        <v>#N/A</v>
      </c>
      <c r="C404" s="11"/>
      <c r="D404" s="38"/>
      <c r="E404" s="2"/>
    </row>
    <row r="405" spans="1:5" ht="18.600000000000001">
      <c r="A405" s="2"/>
      <c r="B405" s="2" t="e">
        <f>+VLOOKUP(Tabla3568[[#This Row],[Code]],Tabla35[#All],2,0)</f>
        <v>#N/A</v>
      </c>
      <c r="C405" s="11"/>
      <c r="D405" s="38"/>
      <c r="E405" s="2"/>
    </row>
    <row r="406" spans="1:5" ht="18.600000000000001">
      <c r="A406" s="2"/>
      <c r="B406" s="2" t="e">
        <f>+VLOOKUP(Tabla3568[[#This Row],[Code]],Tabla35[#All],2,0)</f>
        <v>#N/A</v>
      </c>
      <c r="C406" s="11"/>
      <c r="D406" s="38"/>
      <c r="E406" s="2"/>
    </row>
    <row r="407" spans="1:5" ht="18.600000000000001">
      <c r="A407" s="2"/>
      <c r="B407" s="2" t="e">
        <f>+VLOOKUP(Tabla3568[[#This Row],[Code]],Tabla35[#All],2,0)</f>
        <v>#N/A</v>
      </c>
      <c r="C407" s="11"/>
      <c r="D407" s="38"/>
      <c r="E407" s="2"/>
    </row>
    <row r="408" spans="1:5" ht="18.600000000000001">
      <c r="A408" s="2"/>
      <c r="B408" s="2" t="e">
        <f>+VLOOKUP(Tabla3568[[#This Row],[Code]],Tabla35[#All],2,0)</f>
        <v>#N/A</v>
      </c>
      <c r="C408" s="11"/>
      <c r="D408" s="38"/>
      <c r="E408" s="2"/>
    </row>
    <row r="409" spans="1:5" ht="18.600000000000001">
      <c r="A409" s="2"/>
      <c r="B409" s="2" t="e">
        <f>+VLOOKUP(Tabla3568[[#This Row],[Code]],Tabla35[#All],2,0)</f>
        <v>#N/A</v>
      </c>
      <c r="C409" s="11"/>
      <c r="D409" s="38"/>
      <c r="E409" s="2"/>
    </row>
    <row r="410" spans="1:5" ht="18.600000000000001">
      <c r="A410" s="2"/>
      <c r="B410" s="2" t="e">
        <f>+VLOOKUP(Tabla3568[[#This Row],[Code]],Tabla35[#All],2,0)</f>
        <v>#N/A</v>
      </c>
      <c r="C410" s="11"/>
      <c r="D410" s="38"/>
      <c r="E410" s="2"/>
    </row>
    <row r="411" spans="1:5" ht="18.600000000000001">
      <c r="A411" s="2"/>
      <c r="B411" s="2" t="e">
        <f>+VLOOKUP(Tabla3568[[#This Row],[Code]],Tabla35[#All],2,0)</f>
        <v>#N/A</v>
      </c>
      <c r="C411" s="11"/>
      <c r="D411" s="38"/>
      <c r="E411" s="2"/>
    </row>
    <row r="412" spans="1:5" ht="18.600000000000001">
      <c r="A412" s="2"/>
      <c r="B412" s="2" t="e">
        <f>+VLOOKUP(Tabla3568[[#This Row],[Code]],Tabla35[#All],2,0)</f>
        <v>#N/A</v>
      </c>
      <c r="C412" s="11"/>
      <c r="D412" s="38"/>
      <c r="E412" s="2"/>
    </row>
    <row r="413" spans="1:5" ht="18.600000000000001">
      <c r="A413" s="2"/>
      <c r="B413" s="2" t="e">
        <f>+VLOOKUP(Tabla3568[[#This Row],[Code]],Tabla35[#All],2,0)</f>
        <v>#N/A</v>
      </c>
      <c r="C413" s="11"/>
      <c r="D413" s="38"/>
      <c r="E413" s="2"/>
    </row>
    <row r="414" spans="1:5" ht="18.600000000000001">
      <c r="A414" s="2"/>
      <c r="B414" s="2" t="e">
        <f>+VLOOKUP(Tabla3568[[#This Row],[Code]],Tabla35[#All],2,0)</f>
        <v>#N/A</v>
      </c>
      <c r="C414" s="11"/>
      <c r="D414" s="38"/>
      <c r="E414" s="2"/>
    </row>
    <row r="415" spans="1:5" ht="18.600000000000001">
      <c r="A415" s="2"/>
      <c r="B415" s="2" t="e">
        <f>+VLOOKUP(Tabla3568[[#This Row],[Code]],Tabla35[#All],2,0)</f>
        <v>#N/A</v>
      </c>
      <c r="C415" s="11"/>
      <c r="D415" s="38"/>
      <c r="E415" s="2"/>
    </row>
    <row r="416" spans="1:5" ht="18.600000000000001">
      <c r="A416" s="2"/>
      <c r="B416" s="2" t="e">
        <f>+VLOOKUP(Tabla3568[[#This Row],[Code]],Tabla35[#All],2,0)</f>
        <v>#N/A</v>
      </c>
      <c r="C416" s="11"/>
      <c r="D416" s="38"/>
      <c r="E416" s="2"/>
    </row>
    <row r="417" spans="1:5" ht="18.600000000000001">
      <c r="A417" s="2"/>
      <c r="B417" s="2" t="e">
        <f>+VLOOKUP(Tabla3568[[#This Row],[Code]],Tabla35[#All],2,0)</f>
        <v>#N/A</v>
      </c>
      <c r="C417" s="11"/>
      <c r="D417" s="38"/>
      <c r="E417" s="2"/>
    </row>
    <row r="418" spans="1:5" ht="18.600000000000001">
      <c r="A418" s="2"/>
      <c r="B418" s="2" t="e">
        <f>+VLOOKUP(Tabla3568[[#This Row],[Code]],Tabla35[#All],2,0)</f>
        <v>#N/A</v>
      </c>
      <c r="C418" s="11"/>
      <c r="D418" s="38"/>
      <c r="E418" s="2"/>
    </row>
    <row r="419" spans="1:5" ht="18.600000000000001">
      <c r="A419" s="2"/>
      <c r="B419" s="2" t="e">
        <f>+VLOOKUP(Tabla3568[[#This Row],[Code]],Tabla35[#All],2,0)</f>
        <v>#N/A</v>
      </c>
      <c r="C419" s="11"/>
      <c r="D419" s="38"/>
      <c r="E419" s="2"/>
    </row>
    <row r="420" spans="1:5" ht="18.600000000000001">
      <c r="A420" s="2"/>
      <c r="B420" s="2" t="e">
        <f>+VLOOKUP(Tabla3568[[#This Row],[Code]],Tabla35[#All],2,0)</f>
        <v>#N/A</v>
      </c>
      <c r="C420" s="11"/>
      <c r="D420" s="38"/>
      <c r="E420" s="2"/>
    </row>
    <row r="421" spans="1:5" ht="18.600000000000001">
      <c r="A421" s="2"/>
      <c r="B421" s="2" t="e">
        <f>+VLOOKUP(Tabla3568[[#This Row],[Code]],Tabla35[#All],2,0)</f>
        <v>#N/A</v>
      </c>
      <c r="C421" s="11"/>
      <c r="D421" s="38"/>
      <c r="E421" s="2"/>
    </row>
    <row r="422" spans="1:5" ht="18.600000000000001">
      <c r="A422" s="2"/>
      <c r="B422" s="2" t="e">
        <f>+VLOOKUP(Tabla3568[[#This Row],[Code]],Tabla35[#All],2,0)</f>
        <v>#N/A</v>
      </c>
      <c r="C422" s="11"/>
      <c r="D422" s="38"/>
      <c r="E422" s="2"/>
    </row>
    <row r="423" spans="1:5" ht="18.600000000000001">
      <c r="A423" s="2"/>
      <c r="B423" s="2" t="e">
        <f>+VLOOKUP(Tabla3568[[#This Row],[Code]],Tabla35[#All],2,0)</f>
        <v>#N/A</v>
      </c>
      <c r="C423" s="11"/>
      <c r="D423" s="38"/>
      <c r="E423" s="2"/>
    </row>
    <row r="424" spans="1:5" ht="18.600000000000001">
      <c r="A424" s="2"/>
      <c r="B424" s="2" t="e">
        <f>+VLOOKUP(Tabla3568[[#This Row],[Code]],Tabla35[#All],2,0)</f>
        <v>#N/A</v>
      </c>
      <c r="C424" s="11"/>
      <c r="D424" s="38"/>
      <c r="E424" s="2"/>
    </row>
    <row r="425" spans="1:5" ht="18.600000000000001">
      <c r="A425" s="2"/>
      <c r="B425" s="2" t="e">
        <f>+VLOOKUP(Tabla3568[[#This Row],[Code]],Tabla35[#All],2,0)</f>
        <v>#N/A</v>
      </c>
      <c r="C425" s="11"/>
      <c r="D425" s="38"/>
      <c r="E425" s="2"/>
    </row>
    <row r="426" spans="1:5" ht="18.600000000000001">
      <c r="A426" s="2"/>
      <c r="B426" s="2" t="e">
        <f>+VLOOKUP(Tabla3568[[#This Row],[Code]],Tabla35[#All],2,0)</f>
        <v>#N/A</v>
      </c>
      <c r="C426" s="11"/>
      <c r="D426" s="38"/>
      <c r="E426" s="2"/>
    </row>
    <row r="427" spans="1:5" ht="18.600000000000001">
      <c r="A427" s="2"/>
      <c r="B427" s="2" t="e">
        <f>+VLOOKUP(Tabla3568[[#This Row],[Code]],Tabla35[#All],2,0)</f>
        <v>#N/A</v>
      </c>
      <c r="C427" s="11"/>
      <c r="D427" s="38"/>
      <c r="E427" s="2"/>
    </row>
    <row r="428" spans="1:5" ht="18.600000000000001">
      <c r="A428" s="2"/>
      <c r="B428" s="2" t="e">
        <f>+VLOOKUP(Tabla3568[[#This Row],[Code]],Tabla35[#All],2,0)</f>
        <v>#N/A</v>
      </c>
      <c r="C428" s="11"/>
      <c r="D428" s="38"/>
      <c r="E428" s="2"/>
    </row>
    <row r="429" spans="1:5" ht="18.600000000000001">
      <c r="A429" s="2"/>
      <c r="B429" s="2" t="e">
        <f>+VLOOKUP(Tabla3568[[#This Row],[Code]],Tabla35[#All],2,0)</f>
        <v>#N/A</v>
      </c>
      <c r="C429" s="11"/>
      <c r="D429" s="38"/>
      <c r="E429" s="2"/>
    </row>
    <row r="430" spans="1:5" ht="18.600000000000001">
      <c r="A430" s="2"/>
      <c r="B430" s="2" t="e">
        <f>+VLOOKUP(Tabla3568[[#This Row],[Code]],Tabla35[#All],2,0)</f>
        <v>#N/A</v>
      </c>
      <c r="C430" s="11"/>
      <c r="D430" s="38"/>
      <c r="E430" s="2"/>
    </row>
    <row r="431" spans="1:5" ht="18.600000000000001">
      <c r="A431" s="2"/>
      <c r="B431" s="2" t="e">
        <f>+VLOOKUP(Tabla3568[[#This Row],[Code]],Tabla35[#All],2,0)</f>
        <v>#N/A</v>
      </c>
      <c r="C431" s="11"/>
      <c r="D431" s="38"/>
      <c r="E431" s="2"/>
    </row>
    <row r="432" spans="1:5" ht="18.600000000000001">
      <c r="A432" s="2"/>
      <c r="B432" s="2" t="e">
        <f>+VLOOKUP(Tabla3568[[#This Row],[Code]],Tabla35[#All],2,0)</f>
        <v>#N/A</v>
      </c>
      <c r="C432" s="11"/>
      <c r="D432" s="38"/>
      <c r="E432" s="2"/>
    </row>
    <row r="433" spans="1:5" ht="18.600000000000001">
      <c r="A433" s="2"/>
      <c r="B433" s="2" t="e">
        <f>+VLOOKUP(Tabla3568[[#This Row],[Code]],Tabla35[#All],2,0)</f>
        <v>#N/A</v>
      </c>
      <c r="C433" s="11"/>
      <c r="D433" s="38"/>
      <c r="E433" s="2"/>
    </row>
    <row r="434" spans="1:5" ht="18.600000000000001">
      <c r="A434" s="2"/>
      <c r="B434" s="2" t="e">
        <f>+VLOOKUP(Tabla3568[[#This Row],[Code]],Tabla35[#All],2,0)</f>
        <v>#N/A</v>
      </c>
      <c r="C434" s="11"/>
      <c r="D434" s="38"/>
      <c r="E434" s="2"/>
    </row>
    <row r="435" spans="1:5" ht="18.600000000000001">
      <c r="A435" s="2"/>
      <c r="B435" s="2" t="e">
        <f>+VLOOKUP(Tabla3568[[#This Row],[Code]],Tabla35[#All],2,0)</f>
        <v>#N/A</v>
      </c>
      <c r="C435" s="11"/>
      <c r="D435" s="38"/>
      <c r="E435" s="2"/>
    </row>
    <row r="436" spans="1:5" ht="18.600000000000001">
      <c r="A436" s="2"/>
      <c r="B436" s="2" t="e">
        <f>+VLOOKUP(Tabla3568[[#This Row],[Code]],Tabla35[#All],2,0)</f>
        <v>#N/A</v>
      </c>
      <c r="C436" s="11"/>
      <c r="D436" s="38"/>
      <c r="E436" s="2"/>
    </row>
    <row r="437" spans="1:5" ht="18.600000000000001">
      <c r="A437" s="2"/>
      <c r="B437" s="2" t="e">
        <f>+VLOOKUP(Tabla3568[[#This Row],[Code]],Tabla35[#All],2,0)</f>
        <v>#N/A</v>
      </c>
      <c r="C437" s="11"/>
      <c r="D437" s="38"/>
      <c r="E437" s="2"/>
    </row>
    <row r="438" spans="1:5" ht="18.600000000000001">
      <c r="A438" s="2"/>
      <c r="B438" s="2" t="e">
        <f>+VLOOKUP(Tabla3568[[#This Row],[Code]],Tabla35[#All],2,0)</f>
        <v>#N/A</v>
      </c>
      <c r="C438" s="11"/>
      <c r="D438" s="38"/>
      <c r="E438" s="2"/>
    </row>
    <row r="439" spans="1:5" ht="18.600000000000001">
      <c r="A439" s="2"/>
      <c r="B439" s="2" t="e">
        <f>+VLOOKUP(Tabla3568[[#This Row],[Code]],Tabla35[#All],2,0)</f>
        <v>#N/A</v>
      </c>
      <c r="C439" s="11"/>
      <c r="D439" s="38"/>
      <c r="E439" s="2"/>
    </row>
    <row r="440" spans="1:5" ht="18.600000000000001">
      <c r="A440" s="2"/>
      <c r="B440" s="2" t="e">
        <f>+VLOOKUP(Tabla3568[[#This Row],[Code]],Tabla35[#All],2,0)</f>
        <v>#N/A</v>
      </c>
      <c r="C440" s="11"/>
      <c r="D440" s="38"/>
      <c r="E440" s="2"/>
    </row>
    <row r="441" spans="1:5" ht="18.600000000000001">
      <c r="A441" s="2"/>
      <c r="B441" s="2" t="e">
        <f>+VLOOKUP(Tabla3568[[#This Row],[Code]],Tabla35[#All],2,0)</f>
        <v>#N/A</v>
      </c>
      <c r="C441" s="11"/>
      <c r="D441" s="38"/>
      <c r="E441" s="2"/>
    </row>
    <row r="442" spans="1:5" ht="18.600000000000001">
      <c r="A442" s="2"/>
      <c r="B442" s="2" t="e">
        <f>+VLOOKUP(Tabla3568[[#This Row],[Code]],Tabla35[#All],2,0)</f>
        <v>#N/A</v>
      </c>
      <c r="C442" s="11"/>
      <c r="D442" s="38"/>
      <c r="E442" s="2"/>
    </row>
    <row r="443" spans="1:5" ht="18.600000000000001">
      <c r="A443" s="2"/>
      <c r="B443" s="2" t="e">
        <f>+VLOOKUP(Tabla3568[[#This Row],[Code]],Tabla35[#All],2,0)</f>
        <v>#N/A</v>
      </c>
      <c r="C443" s="11"/>
      <c r="D443" s="38"/>
      <c r="E443" s="2"/>
    </row>
    <row r="444" spans="1:5" ht="18.600000000000001">
      <c r="A444" s="2"/>
      <c r="B444" s="2" t="e">
        <f>+VLOOKUP(Tabla3568[[#This Row],[Code]],Tabla35[#All],2,0)</f>
        <v>#N/A</v>
      </c>
      <c r="C444" s="11"/>
      <c r="D444" s="38"/>
      <c r="E444" s="2"/>
    </row>
    <row r="445" spans="1:5" ht="18.600000000000001">
      <c r="A445" s="2"/>
      <c r="B445" s="2" t="e">
        <f>+VLOOKUP(Tabla3568[[#This Row],[Code]],Tabla35[#All],2,0)</f>
        <v>#N/A</v>
      </c>
      <c r="C445" s="11"/>
      <c r="D445" s="38"/>
      <c r="E445" s="2"/>
    </row>
    <row r="446" spans="1:5" ht="18.600000000000001">
      <c r="A446" s="2"/>
      <c r="B446" s="2" t="e">
        <f>+VLOOKUP(Tabla3568[[#This Row],[Code]],Tabla35[#All],2,0)</f>
        <v>#N/A</v>
      </c>
      <c r="C446" s="11"/>
      <c r="D446" s="38"/>
      <c r="E446" s="2"/>
    </row>
    <row r="447" spans="1:5" ht="18.600000000000001">
      <c r="A447" s="2"/>
      <c r="B447" s="2" t="e">
        <f>+VLOOKUP(Tabla3568[[#This Row],[Code]],Tabla35[#All],2,0)</f>
        <v>#N/A</v>
      </c>
      <c r="C447" s="11"/>
      <c r="D447" s="38"/>
      <c r="E447" s="2"/>
    </row>
    <row r="448" spans="1:5" ht="18.600000000000001">
      <c r="A448" s="2"/>
      <c r="B448" s="2" t="e">
        <f>+VLOOKUP(Tabla3568[[#This Row],[Code]],Tabla35[#All],2,0)</f>
        <v>#N/A</v>
      </c>
      <c r="C448" s="11"/>
      <c r="D448" s="38"/>
      <c r="E448" s="2"/>
    </row>
    <row r="449" spans="1:5" ht="18.600000000000001">
      <c r="A449" s="2"/>
      <c r="B449" s="2" t="e">
        <f>+VLOOKUP(Tabla3568[[#This Row],[Code]],Tabla35[#All],2,0)</f>
        <v>#N/A</v>
      </c>
      <c r="C449" s="11"/>
      <c r="D449" s="38"/>
      <c r="E449" s="2"/>
    </row>
    <row r="450" spans="1:5" ht="18.600000000000001">
      <c r="A450" s="2"/>
      <c r="B450" s="2" t="e">
        <f>+VLOOKUP(Tabla3568[[#This Row],[Code]],Tabla35[#All],2,0)</f>
        <v>#N/A</v>
      </c>
      <c r="C450" s="11"/>
      <c r="D450" s="38"/>
      <c r="E450" s="2"/>
    </row>
    <row r="451" spans="1:5" ht="18.600000000000001">
      <c r="A451" s="2"/>
      <c r="B451" s="2" t="e">
        <f>+VLOOKUP(Tabla3568[[#This Row],[Code]],Tabla35[#All],2,0)</f>
        <v>#N/A</v>
      </c>
      <c r="C451" s="11"/>
      <c r="D451" s="38"/>
      <c r="E451" s="2"/>
    </row>
    <row r="452" spans="1:5" ht="18.600000000000001">
      <c r="A452" s="2"/>
      <c r="B452" s="2" t="e">
        <f>+VLOOKUP(Tabla3568[[#This Row],[Code]],Tabla35[#All],2,0)</f>
        <v>#N/A</v>
      </c>
      <c r="C452" s="11"/>
      <c r="D452" s="38"/>
      <c r="E452" s="2"/>
    </row>
    <row r="453" spans="1:5" ht="18.600000000000001">
      <c r="A453" s="2"/>
      <c r="B453" s="2" t="e">
        <f>+VLOOKUP(Tabla3568[[#This Row],[Code]],Tabla35[#All],2,0)</f>
        <v>#N/A</v>
      </c>
      <c r="C453" s="11"/>
      <c r="D453" s="38"/>
      <c r="E453" s="2"/>
    </row>
    <row r="454" spans="1:5" ht="18.600000000000001">
      <c r="A454" s="2"/>
      <c r="B454" s="2" t="e">
        <f>+VLOOKUP(Tabla3568[[#This Row],[Code]],Tabla35[#All],2,0)</f>
        <v>#N/A</v>
      </c>
      <c r="C454" s="11"/>
      <c r="D454" s="38"/>
      <c r="E454" s="2"/>
    </row>
    <row r="455" spans="1:5" ht="18.600000000000001">
      <c r="A455" s="2"/>
      <c r="B455" s="2" t="e">
        <f>+VLOOKUP(Tabla3568[[#This Row],[Code]],Tabla35[#All],2,0)</f>
        <v>#N/A</v>
      </c>
      <c r="C455" s="11"/>
      <c r="D455" s="38"/>
      <c r="E455" s="2"/>
    </row>
    <row r="456" spans="1:5" ht="18.600000000000001">
      <c r="A456" s="2"/>
      <c r="B456" s="2" t="e">
        <f>+VLOOKUP(Tabla3568[[#This Row],[Code]],Tabla35[#All],2,0)</f>
        <v>#N/A</v>
      </c>
      <c r="C456" s="11"/>
      <c r="D456" s="38"/>
      <c r="E456" s="2"/>
    </row>
    <row r="457" spans="1:5" ht="18.600000000000001">
      <c r="A457" s="2"/>
      <c r="B457" s="2" t="e">
        <f>+VLOOKUP(Tabla3568[[#This Row],[Code]],Tabla35[#All],2,0)</f>
        <v>#N/A</v>
      </c>
      <c r="C457" s="11"/>
      <c r="D457" s="38"/>
      <c r="E457" s="2"/>
    </row>
    <row r="458" spans="1:5" ht="18.600000000000001">
      <c r="A458" s="2"/>
      <c r="B458" s="2" t="e">
        <f>+VLOOKUP(Tabla3568[[#This Row],[Code]],Tabla35[#All],2,0)</f>
        <v>#N/A</v>
      </c>
      <c r="C458" s="11"/>
      <c r="D458" s="38"/>
      <c r="E458" s="2"/>
    </row>
    <row r="459" spans="1:5" ht="18.600000000000001">
      <c r="A459" s="2"/>
      <c r="B459" s="2" t="e">
        <f>+VLOOKUP(Tabla3568[[#This Row],[Code]],Tabla35[#All],2,0)</f>
        <v>#N/A</v>
      </c>
      <c r="C459" s="11"/>
      <c r="D459" s="38"/>
      <c r="E459" s="2"/>
    </row>
    <row r="460" spans="1:5" ht="18.600000000000001">
      <c r="A460" s="2"/>
      <c r="B460" s="2" t="e">
        <f>+VLOOKUP(Tabla3568[[#This Row],[Code]],Tabla35[#All],2,0)</f>
        <v>#N/A</v>
      </c>
      <c r="C460" s="11"/>
      <c r="D460" s="38"/>
      <c r="E460" s="2"/>
    </row>
    <row r="461" spans="1:5" ht="18.600000000000001">
      <c r="A461" s="2"/>
      <c r="B461" s="2" t="e">
        <f>+VLOOKUP(Tabla3568[[#This Row],[Code]],Tabla35[#All],2,0)</f>
        <v>#N/A</v>
      </c>
      <c r="C461" s="11"/>
      <c r="D461" s="38"/>
      <c r="E461" s="2"/>
    </row>
    <row r="462" spans="1:5" ht="18.600000000000001">
      <c r="A462" s="2"/>
      <c r="B462" s="2" t="e">
        <f>+VLOOKUP(Tabla3568[[#This Row],[Code]],Tabla35[#All],2,0)</f>
        <v>#N/A</v>
      </c>
      <c r="C462" s="11"/>
      <c r="D462" s="38"/>
      <c r="E462" s="2"/>
    </row>
    <row r="463" spans="1:5" ht="18.600000000000001">
      <c r="A463" s="2"/>
      <c r="B463" s="2" t="e">
        <f>+VLOOKUP(Tabla3568[[#This Row],[Code]],Tabla35[#All],2,0)</f>
        <v>#N/A</v>
      </c>
      <c r="C463" s="11"/>
      <c r="D463" s="38"/>
      <c r="E463" s="2"/>
    </row>
    <row r="464" spans="1:5" ht="18.600000000000001">
      <c r="A464" s="2"/>
      <c r="B464" s="2" t="e">
        <f>+VLOOKUP(Tabla3568[[#This Row],[Code]],Tabla35[#All],2,0)</f>
        <v>#N/A</v>
      </c>
      <c r="C464" s="11"/>
      <c r="D464" s="38"/>
      <c r="E464" s="2"/>
    </row>
    <row r="465" spans="1:5" ht="18.600000000000001">
      <c r="A465" s="2"/>
      <c r="B465" s="2" t="e">
        <f>+VLOOKUP(Tabla3568[[#This Row],[Code]],Tabla35[#All],2,0)</f>
        <v>#N/A</v>
      </c>
      <c r="C465" s="11"/>
      <c r="D465" s="38"/>
      <c r="E465" s="2"/>
    </row>
    <row r="466" spans="1:5" ht="18.600000000000001">
      <c r="A466" s="2"/>
      <c r="B466" s="2" t="e">
        <f>+VLOOKUP(Tabla3568[[#This Row],[Code]],Tabla35[#All],2,0)</f>
        <v>#N/A</v>
      </c>
      <c r="C466" s="11"/>
      <c r="D466" s="38"/>
      <c r="E466" s="2"/>
    </row>
    <row r="467" spans="1:5" ht="18.600000000000001">
      <c r="A467" s="2"/>
      <c r="B467" s="2" t="e">
        <f>+VLOOKUP(Tabla3568[[#This Row],[Code]],Tabla35[#All],2,0)</f>
        <v>#N/A</v>
      </c>
      <c r="C467" s="11"/>
      <c r="D467" s="38"/>
      <c r="E467" s="2"/>
    </row>
    <row r="468" spans="1:5" ht="18.600000000000001">
      <c r="A468" s="2"/>
      <c r="B468" s="2" t="e">
        <f>+VLOOKUP(Tabla3568[[#This Row],[Code]],Tabla35[#All],2,0)</f>
        <v>#N/A</v>
      </c>
      <c r="C468" s="11"/>
      <c r="D468" s="38"/>
      <c r="E468" s="2"/>
    </row>
    <row r="469" spans="1:5" ht="18.600000000000001">
      <c r="A469" s="2"/>
      <c r="B469" s="2" t="e">
        <f>+VLOOKUP(Tabla3568[[#This Row],[Code]],Tabla35[#All],2,0)</f>
        <v>#N/A</v>
      </c>
      <c r="C469" s="11"/>
      <c r="D469" s="38"/>
      <c r="E469" s="2"/>
    </row>
    <row r="470" spans="1:5" ht="18.600000000000001">
      <c r="A470" s="2"/>
      <c r="B470" s="2" t="e">
        <f>+VLOOKUP(Tabla3568[[#This Row],[Code]],Tabla35[#All],2,0)</f>
        <v>#N/A</v>
      </c>
      <c r="C470" s="11"/>
      <c r="D470" s="38"/>
      <c r="E470" s="2"/>
    </row>
    <row r="471" spans="1:5" ht="18.600000000000001">
      <c r="A471" s="2"/>
      <c r="B471" s="2" t="e">
        <f>+VLOOKUP(Tabla3568[[#This Row],[Code]],Tabla35[#All],2,0)</f>
        <v>#N/A</v>
      </c>
      <c r="C471" s="11"/>
      <c r="D471" s="38"/>
      <c r="E471" s="2"/>
    </row>
    <row r="472" spans="1:5" ht="18.600000000000001">
      <c r="A472" s="2"/>
      <c r="B472" s="2" t="e">
        <f>+VLOOKUP(Tabla3568[[#This Row],[Code]],Tabla35[#All],2,0)</f>
        <v>#N/A</v>
      </c>
      <c r="C472" s="11"/>
      <c r="D472" s="38"/>
      <c r="E472" s="2"/>
    </row>
    <row r="473" spans="1:5" ht="18.600000000000001">
      <c r="A473" s="2"/>
      <c r="B473" s="2" t="e">
        <f>+VLOOKUP(Tabla3568[[#This Row],[Code]],Tabla35[#All],2,0)</f>
        <v>#N/A</v>
      </c>
      <c r="C473" s="11"/>
      <c r="D473" s="38"/>
      <c r="E473" s="2"/>
    </row>
    <row r="474" spans="1:5" ht="18.600000000000001">
      <c r="A474" s="2"/>
      <c r="B474" s="2" t="e">
        <f>+VLOOKUP(Tabla3568[[#This Row],[Code]],Tabla35[#All],2,0)</f>
        <v>#N/A</v>
      </c>
      <c r="C474" s="11"/>
      <c r="D474" s="38"/>
      <c r="E474" s="2"/>
    </row>
    <row r="475" spans="1:5" ht="18.600000000000001">
      <c r="A475" s="2"/>
      <c r="B475" s="2" t="e">
        <f>+VLOOKUP(Tabla3568[[#This Row],[Code]],Tabla35[#All],2,0)</f>
        <v>#N/A</v>
      </c>
      <c r="C475" s="11"/>
      <c r="D475" s="38"/>
      <c r="E475" s="2"/>
    </row>
    <row r="476" spans="1:5" ht="18.600000000000001">
      <c r="A476" s="2"/>
      <c r="B476" s="2" t="e">
        <f>+VLOOKUP(Tabla3568[[#This Row],[Code]],Tabla35[#All],2,0)</f>
        <v>#N/A</v>
      </c>
      <c r="C476" s="11"/>
      <c r="D476" s="38"/>
      <c r="E476" s="2"/>
    </row>
    <row r="477" spans="1:5" ht="18.600000000000001">
      <c r="A477" s="2"/>
      <c r="B477" s="2" t="e">
        <f>+VLOOKUP(Tabla3568[[#This Row],[Code]],Tabla35[#All],2,0)</f>
        <v>#N/A</v>
      </c>
      <c r="C477" s="11"/>
      <c r="D477" s="38"/>
      <c r="E477" s="2"/>
    </row>
    <row r="478" spans="1:5" ht="18.600000000000001">
      <c r="A478" s="2"/>
      <c r="B478" s="2" t="e">
        <f>+VLOOKUP(Tabla3568[[#This Row],[Code]],Tabla35[#All],2,0)</f>
        <v>#N/A</v>
      </c>
      <c r="C478" s="11"/>
      <c r="D478" s="38"/>
      <c r="E478" s="2"/>
    </row>
    <row r="479" spans="1:5" ht="18.600000000000001">
      <c r="A479" s="2"/>
      <c r="B479" s="2" t="e">
        <f>+VLOOKUP(Tabla3568[[#This Row],[Code]],Tabla35[#All],2,0)</f>
        <v>#N/A</v>
      </c>
      <c r="C479" s="11"/>
      <c r="D479" s="38"/>
      <c r="E479" s="2"/>
    </row>
    <row r="480" spans="1:5" ht="18.600000000000001">
      <c r="A480" s="2"/>
      <c r="B480" s="2" t="e">
        <f>+VLOOKUP(Tabla3568[[#This Row],[Code]],Tabla35[#All],2,0)</f>
        <v>#N/A</v>
      </c>
      <c r="C480" s="11"/>
      <c r="D480" s="38"/>
      <c r="E480" s="2"/>
    </row>
    <row r="481" spans="1:5" ht="18.600000000000001">
      <c r="A481" s="2"/>
      <c r="B481" s="2" t="e">
        <f>+VLOOKUP(Tabla3568[[#This Row],[Code]],Tabla35[#All],2,0)</f>
        <v>#N/A</v>
      </c>
      <c r="C481" s="11"/>
      <c r="D481" s="38"/>
      <c r="E481" s="2"/>
    </row>
    <row r="482" spans="1:5" ht="18.600000000000001">
      <c r="A482" s="2"/>
      <c r="B482" s="2" t="e">
        <f>+VLOOKUP(Tabla3568[[#This Row],[Code]],Tabla35[#All],2,0)</f>
        <v>#N/A</v>
      </c>
      <c r="C482" s="11"/>
      <c r="D482" s="38"/>
      <c r="E482" s="2"/>
    </row>
    <row r="483" spans="1:5" ht="18.600000000000001">
      <c r="A483" s="2"/>
      <c r="B483" s="2" t="e">
        <f>+VLOOKUP(Tabla3568[[#This Row],[Code]],Tabla35[#All],2,0)</f>
        <v>#N/A</v>
      </c>
      <c r="C483" s="11"/>
      <c r="D483" s="38"/>
      <c r="E483" s="2"/>
    </row>
    <row r="484" spans="1:5" ht="18.600000000000001">
      <c r="A484" s="2"/>
      <c r="B484" s="2" t="e">
        <f>+VLOOKUP(Tabla3568[[#This Row],[Code]],Tabla35[#All],2,0)</f>
        <v>#N/A</v>
      </c>
      <c r="C484" s="11"/>
      <c r="D484" s="38"/>
      <c r="E484" s="2"/>
    </row>
    <row r="485" spans="1:5" ht="18.600000000000001">
      <c r="A485" s="2"/>
      <c r="B485" s="2" t="e">
        <f>+VLOOKUP(Tabla3568[[#This Row],[Code]],Tabla35[#All],2,0)</f>
        <v>#N/A</v>
      </c>
      <c r="C485" s="11"/>
      <c r="D485" s="38"/>
      <c r="E485" s="2"/>
    </row>
    <row r="486" spans="1:5" ht="18.600000000000001">
      <c r="A486" s="2"/>
      <c r="B486" s="2" t="e">
        <f>+VLOOKUP(Tabla3568[[#This Row],[Code]],Tabla35[#All],2,0)</f>
        <v>#N/A</v>
      </c>
      <c r="C486" s="11"/>
      <c r="D486" s="38"/>
      <c r="E486" s="2"/>
    </row>
    <row r="487" spans="1:5" ht="18.600000000000001">
      <c r="A487" s="2"/>
      <c r="B487" s="2" t="e">
        <f>+VLOOKUP(Tabla3568[[#This Row],[Code]],Tabla35[#All],2,0)</f>
        <v>#N/A</v>
      </c>
      <c r="C487" s="11"/>
      <c r="D487" s="38"/>
      <c r="E487" s="2"/>
    </row>
    <row r="488" spans="1:5" ht="18.600000000000001">
      <c r="A488" s="2"/>
      <c r="B488" s="2" t="e">
        <f>+VLOOKUP(Tabla3568[[#This Row],[Code]],Tabla35[#All],2,0)</f>
        <v>#N/A</v>
      </c>
      <c r="C488" s="11"/>
      <c r="D488" s="38"/>
      <c r="E488" s="2"/>
    </row>
    <row r="489" spans="1:5" ht="18.600000000000001">
      <c r="A489" s="2"/>
      <c r="B489" s="2" t="e">
        <f>+VLOOKUP(Tabla3568[[#This Row],[Code]],Tabla35[#All],2,0)</f>
        <v>#N/A</v>
      </c>
      <c r="C489" s="11"/>
      <c r="D489" s="38"/>
      <c r="E489" s="2"/>
    </row>
    <row r="490" spans="1:5" ht="18.600000000000001">
      <c r="A490" s="2"/>
      <c r="B490" s="2" t="e">
        <f>+VLOOKUP(Tabla3568[[#This Row],[Code]],Tabla35[#All],2,0)</f>
        <v>#N/A</v>
      </c>
      <c r="C490" s="11"/>
      <c r="D490" s="38"/>
      <c r="E490" s="2"/>
    </row>
    <row r="491" spans="1:5" ht="18.600000000000001">
      <c r="A491" s="2"/>
      <c r="B491" s="2" t="e">
        <f>+VLOOKUP(Tabla3568[[#This Row],[Code]],Tabla35[#All],2,0)</f>
        <v>#N/A</v>
      </c>
      <c r="C491" s="11"/>
      <c r="D491" s="38"/>
      <c r="E491" s="2"/>
    </row>
    <row r="492" spans="1:5" ht="18.600000000000001">
      <c r="A492" s="2"/>
      <c r="B492" s="2" t="e">
        <f>+VLOOKUP(Tabla3568[[#This Row],[Code]],Tabla35[#All],2,0)</f>
        <v>#N/A</v>
      </c>
      <c r="C492" s="11"/>
      <c r="D492" s="38"/>
      <c r="E492" s="2"/>
    </row>
    <row r="493" spans="1:5" ht="18.600000000000001">
      <c r="A493" s="2"/>
      <c r="B493" s="2" t="e">
        <f>+VLOOKUP(Tabla3568[[#This Row],[Code]],Tabla35[#All],2,0)</f>
        <v>#N/A</v>
      </c>
      <c r="C493" s="11"/>
      <c r="D493" s="38"/>
      <c r="E493" s="2"/>
    </row>
    <row r="494" spans="1:5" ht="18.600000000000001">
      <c r="A494" s="2"/>
      <c r="B494" s="2" t="e">
        <f>+VLOOKUP(Tabla3568[[#This Row],[Code]],Tabla35[#All],2,0)</f>
        <v>#N/A</v>
      </c>
      <c r="C494" s="11"/>
      <c r="D494" s="38"/>
      <c r="E494" s="2"/>
    </row>
    <row r="495" spans="1:5" ht="18.600000000000001">
      <c r="A495" s="2"/>
      <c r="B495" s="2" t="e">
        <f>+VLOOKUP(Tabla3568[[#This Row],[Code]],Tabla35[#All],2,0)</f>
        <v>#N/A</v>
      </c>
      <c r="C495" s="11"/>
      <c r="D495" s="38"/>
      <c r="E495" s="2"/>
    </row>
    <row r="496" spans="1:5" ht="18.600000000000001">
      <c r="A496" s="2"/>
      <c r="B496" s="2" t="e">
        <f>+VLOOKUP(Tabla3568[[#This Row],[Code]],Tabla35[#All],2,0)</f>
        <v>#N/A</v>
      </c>
      <c r="C496" s="11"/>
      <c r="D496" s="38"/>
      <c r="E496" s="2"/>
    </row>
    <row r="497" spans="1:5" ht="18.600000000000001">
      <c r="A497" s="2"/>
      <c r="B497" s="2" t="e">
        <f>+VLOOKUP(Tabla3568[[#This Row],[Code]],Tabla35[#All],2,0)</f>
        <v>#N/A</v>
      </c>
      <c r="C497" s="11"/>
      <c r="D497" s="38"/>
      <c r="E497" s="2"/>
    </row>
    <row r="498" spans="1:5" ht="18.600000000000001">
      <c r="A498" s="2"/>
      <c r="B498" s="2" t="e">
        <f>+VLOOKUP(Tabla3568[[#This Row],[Code]],Tabla35[#All],2,0)</f>
        <v>#N/A</v>
      </c>
      <c r="C498" s="11"/>
      <c r="D498" s="38"/>
      <c r="E498" s="2"/>
    </row>
    <row r="499" spans="1:5" ht="18.600000000000001">
      <c r="A499" s="2"/>
      <c r="B499" s="2" t="e">
        <f>+VLOOKUP(Tabla3568[[#This Row],[Code]],Tabla35[#All],2,0)</f>
        <v>#N/A</v>
      </c>
      <c r="C499" s="11"/>
      <c r="D499" s="38"/>
      <c r="E499" s="2"/>
    </row>
    <row r="500" spans="1:5" ht="18.600000000000001">
      <c r="A500" s="2"/>
      <c r="B500" s="2" t="e">
        <f>+VLOOKUP(Tabla3568[[#This Row],[Code]],Tabla35[#All],2,0)</f>
        <v>#N/A</v>
      </c>
      <c r="C500" s="11"/>
      <c r="D500" s="38"/>
      <c r="E500" s="2"/>
    </row>
    <row r="501" spans="1:5" ht="18.600000000000001">
      <c r="A501" s="2"/>
      <c r="B501" s="2" t="e">
        <f>+VLOOKUP(Tabla3568[[#This Row],[Code]],Tabla35[#All],2,0)</f>
        <v>#N/A</v>
      </c>
      <c r="C501" s="11"/>
      <c r="D501" s="38"/>
      <c r="E501" s="2"/>
    </row>
    <row r="502" spans="1:5" ht="18.600000000000001">
      <c r="A502" s="2"/>
      <c r="B502" s="2" t="e">
        <f>+VLOOKUP(Tabla3568[[#This Row],[Code]],Tabla35[#All],2,0)</f>
        <v>#N/A</v>
      </c>
      <c r="C502" s="11"/>
      <c r="D502" s="38"/>
      <c r="E502" s="2"/>
    </row>
    <row r="503" spans="1:5" ht="18.600000000000001">
      <c r="A503" s="2"/>
      <c r="B503" s="2" t="e">
        <f>+VLOOKUP(Tabla3568[[#This Row],[Code]],Tabla35[#All],2,0)</f>
        <v>#N/A</v>
      </c>
      <c r="C503" s="11"/>
      <c r="D503" s="38"/>
      <c r="E503" s="2"/>
    </row>
    <row r="504" spans="1:5" ht="18.600000000000001">
      <c r="A504" s="2"/>
      <c r="B504" s="2" t="e">
        <f>+VLOOKUP(Tabla3568[[#This Row],[Code]],Tabla35[#All],2,0)</f>
        <v>#N/A</v>
      </c>
      <c r="C504" s="11"/>
      <c r="D504" s="38"/>
      <c r="E504" s="2"/>
    </row>
    <row r="505" spans="1:5" ht="18.600000000000001">
      <c r="A505" s="2"/>
      <c r="B505" s="2" t="e">
        <f>+VLOOKUP(Tabla3568[[#This Row],[Code]],Tabla35[#All],2,0)</f>
        <v>#N/A</v>
      </c>
      <c r="C505" s="11"/>
      <c r="D505" s="38"/>
      <c r="E505" s="2"/>
    </row>
    <row r="506" spans="1:5" ht="18.600000000000001">
      <c r="A506" s="2"/>
      <c r="B506" s="2" t="e">
        <f>+VLOOKUP(Tabla3568[[#This Row],[Code]],Tabla35[#All],2,0)</f>
        <v>#N/A</v>
      </c>
      <c r="C506" s="11"/>
      <c r="D506" s="38"/>
      <c r="E506" s="2"/>
    </row>
    <row r="507" spans="1:5" ht="18.600000000000001">
      <c r="A507" s="2"/>
      <c r="B507" s="2" t="e">
        <f>+VLOOKUP(Tabla3568[[#This Row],[Code]],Tabla35[#All],2,0)</f>
        <v>#N/A</v>
      </c>
      <c r="C507" s="11"/>
      <c r="D507" s="38"/>
      <c r="E507" s="2"/>
    </row>
    <row r="508" spans="1:5" ht="18.600000000000001">
      <c r="A508" s="2"/>
      <c r="B508" s="2" t="e">
        <f>+VLOOKUP(Tabla3568[[#This Row],[Code]],Tabla35[#All],2,0)</f>
        <v>#N/A</v>
      </c>
      <c r="C508" s="11"/>
      <c r="D508" s="38"/>
      <c r="E508" s="2"/>
    </row>
    <row r="509" spans="1:5" ht="18.600000000000001">
      <c r="A509" s="2"/>
      <c r="B509" s="2" t="e">
        <f>+VLOOKUP(Tabla3568[[#This Row],[Code]],Tabla35[#All],2,0)</f>
        <v>#N/A</v>
      </c>
      <c r="C509" s="11"/>
      <c r="D509" s="38"/>
      <c r="E509" s="2"/>
    </row>
    <row r="510" spans="1:5" ht="18.600000000000001">
      <c r="A510" s="2"/>
      <c r="B510" s="2" t="e">
        <f>+VLOOKUP(Tabla3568[[#This Row],[Code]],Tabla35[#All],2,0)</f>
        <v>#N/A</v>
      </c>
      <c r="C510" s="11"/>
      <c r="D510" s="38"/>
      <c r="E510" s="2"/>
    </row>
    <row r="511" spans="1:5">
      <c r="B511" t="e">
        <f>+VLOOKUP(Tabla3568[[#This Row],[Code]],Tabla35[#All],2,0)</f>
        <v>#N/A</v>
      </c>
    </row>
    <row r="512" spans="1:5">
      <c r="B512" t="e">
        <f>+VLOOKUP(Tabla3568[[#This Row],[Code]],Tabla35[#All],2,0)</f>
        <v>#N/A</v>
      </c>
    </row>
    <row r="513" spans="2:2">
      <c r="B513" t="e">
        <f>+VLOOKUP(Tabla3568[[#This Row],[Code]],Tabla35[#All],2,0)</f>
        <v>#N/A</v>
      </c>
    </row>
    <row r="514" spans="2:2">
      <c r="B514" t="e">
        <f>+VLOOKUP(Tabla3568[[#This Row],[Code]],Tabla35[#All],2,0)</f>
        <v>#N/A</v>
      </c>
    </row>
    <row r="515" spans="2:2">
      <c r="B515" t="e">
        <f>+VLOOKUP(Tabla3568[[#This Row],[Code]],Tabla35[#All],2,0)</f>
        <v>#N/A</v>
      </c>
    </row>
    <row r="516" spans="2:2">
      <c r="B516" t="e">
        <f>+VLOOKUP(Tabla3568[[#This Row],[Code]],Tabla35[#All],2,0)</f>
        <v>#N/A</v>
      </c>
    </row>
    <row r="517" spans="2:2">
      <c r="B517" t="e">
        <f>+VLOOKUP(Tabla3568[[#This Row],[Code]],Tabla35[#All],2,0)</f>
        <v>#N/A</v>
      </c>
    </row>
    <row r="518" spans="2:2">
      <c r="B518" t="e">
        <f>+VLOOKUP(Tabla3568[[#This Row],[Code]],Tabla35[#All],2,0)</f>
        <v>#N/A</v>
      </c>
    </row>
    <row r="519" spans="2:2">
      <c r="B519" t="e">
        <f>+VLOOKUP(Tabla3568[[#This Row],[Code]],Tabla35[#All],2,0)</f>
        <v>#N/A</v>
      </c>
    </row>
    <row r="520" spans="2:2">
      <c r="B520" t="e">
        <f>+VLOOKUP(Tabla3568[[#This Row],[Code]],Tabla35[#All],2,0)</f>
        <v>#N/A</v>
      </c>
    </row>
    <row r="521" spans="2:2">
      <c r="B521" t="e">
        <f>+VLOOKUP(Tabla3568[[#This Row],[Code]],Tabla35[#All],2,0)</f>
        <v>#N/A</v>
      </c>
    </row>
    <row r="522" spans="2:2">
      <c r="B522" t="e">
        <f>+VLOOKUP(Tabla3568[[#This Row],[Code]],Tabla35[#All],2,0)</f>
        <v>#N/A</v>
      </c>
    </row>
    <row r="523" spans="2:2">
      <c r="B523" t="e">
        <f>+VLOOKUP(Tabla3568[[#This Row],[Code]],Tabla35[#All],2,0)</f>
        <v>#N/A</v>
      </c>
    </row>
    <row r="524" spans="2:2">
      <c r="B524" t="e">
        <f>+VLOOKUP(Tabla3568[[#This Row],[Code]],Tabla35[#All],2,0)</f>
        <v>#N/A</v>
      </c>
    </row>
    <row r="525" spans="2:2">
      <c r="B525" t="e">
        <f>+VLOOKUP(Tabla3568[[#This Row],[Code]],Tabla35[#All],2,0)</f>
        <v>#N/A</v>
      </c>
    </row>
    <row r="526" spans="2:2">
      <c r="B526" t="e">
        <f>+VLOOKUP(Tabla3568[[#This Row],[Code]],Tabla35[#All],2,0)</f>
        <v>#N/A</v>
      </c>
    </row>
    <row r="527" spans="2:2">
      <c r="B527" t="e">
        <f>+VLOOKUP(Tabla3568[[#This Row],[Code]],Tabla35[#All],2,0)</f>
        <v>#N/A</v>
      </c>
    </row>
    <row r="528" spans="2:2">
      <c r="B528" t="e">
        <f>+VLOOKUP(Tabla3568[[#This Row],[Code]],Tabla35[#All],2,0)</f>
        <v>#N/A</v>
      </c>
    </row>
    <row r="529" spans="2:2">
      <c r="B529" t="e">
        <f>+VLOOKUP(Tabla3568[[#This Row],[Code]],Tabla35[#All],2,0)</f>
        <v>#N/A</v>
      </c>
    </row>
    <row r="530" spans="2:2">
      <c r="B530" t="e">
        <f>+VLOOKUP(Tabla3568[[#This Row],[Code]],Tabla35[#All],2,0)</f>
        <v>#N/A</v>
      </c>
    </row>
    <row r="531" spans="2:2">
      <c r="B531" t="e">
        <f>+VLOOKUP(Tabla3568[[#This Row],[Code]],Tabla35[#All],2,0)</f>
        <v>#N/A</v>
      </c>
    </row>
    <row r="532" spans="2:2">
      <c r="B532" t="e">
        <f>+VLOOKUP(Tabla3568[[#This Row],[Code]],Tabla35[#All],2,0)</f>
        <v>#N/A</v>
      </c>
    </row>
    <row r="533" spans="2:2">
      <c r="B533" t="e">
        <f>+VLOOKUP(Tabla3568[[#This Row],[Code]],Tabla35[#All],2,0)</f>
        <v>#N/A</v>
      </c>
    </row>
    <row r="534" spans="2:2">
      <c r="B534" t="e">
        <f>+VLOOKUP(Tabla3568[[#This Row],[Code]],Tabla35[#All],2,0)</f>
        <v>#N/A</v>
      </c>
    </row>
    <row r="535" spans="2:2">
      <c r="B535" t="e">
        <f>+VLOOKUP(Tabla3568[[#This Row],[Code]],Tabla35[#All],2,0)</f>
        <v>#N/A</v>
      </c>
    </row>
    <row r="536" spans="2:2">
      <c r="B536" t="e">
        <f>+VLOOKUP(Tabla3568[[#This Row],[Code]],Tabla35[#All],2,0)</f>
        <v>#N/A</v>
      </c>
    </row>
    <row r="537" spans="2:2">
      <c r="B537" t="e">
        <f>+VLOOKUP(Tabla3568[[#This Row],[Code]],Tabla35[#All],2,0)</f>
        <v>#N/A</v>
      </c>
    </row>
    <row r="538" spans="2:2">
      <c r="B538" t="e">
        <f>+VLOOKUP(Tabla3568[[#This Row],[Code]],Tabla35[#All],2,0)</f>
        <v>#N/A</v>
      </c>
    </row>
    <row r="539" spans="2:2">
      <c r="B539" t="e">
        <f>+VLOOKUP(Tabla3568[[#This Row],[Code]],Tabla35[#All],2,0)</f>
        <v>#N/A</v>
      </c>
    </row>
    <row r="540" spans="2:2">
      <c r="B540" t="e">
        <f>+VLOOKUP(Tabla3568[[#This Row],[Code]],Tabla35[#All],2,0)</f>
        <v>#N/A</v>
      </c>
    </row>
    <row r="541" spans="2:2">
      <c r="B541" t="e">
        <f>+VLOOKUP(Tabla3568[[#This Row],[Code]],Tabla35[#All],2,0)</f>
        <v>#N/A</v>
      </c>
    </row>
    <row r="542" spans="2:2">
      <c r="B542" t="e">
        <f>+VLOOKUP(Tabla3568[[#This Row],[Code]],Tabla35[#All],2,0)</f>
        <v>#N/A</v>
      </c>
    </row>
    <row r="543" spans="2:2">
      <c r="B543" t="e">
        <f>+VLOOKUP(Tabla3568[[#This Row],[Code]],Tabla35[#All],2,0)</f>
        <v>#N/A</v>
      </c>
    </row>
    <row r="544" spans="2:2">
      <c r="B544" t="e">
        <f>+VLOOKUP(Tabla3568[[#This Row],[Code]],Tabla35[#All],2,0)</f>
        <v>#N/A</v>
      </c>
    </row>
    <row r="545" spans="2:2">
      <c r="B545" t="e">
        <f>+VLOOKUP(Tabla3568[[#This Row],[Code]],Tabla35[#All],2,0)</f>
        <v>#N/A</v>
      </c>
    </row>
    <row r="546" spans="2:2">
      <c r="B546" t="e">
        <f>+VLOOKUP(Tabla3568[[#This Row],[Code]],Tabla35[#All],2,0)</f>
        <v>#N/A</v>
      </c>
    </row>
    <row r="547" spans="2:2">
      <c r="B547" t="e">
        <f>+VLOOKUP(Tabla3568[[#This Row],[Code]],Tabla35[#All],2,0)</f>
        <v>#N/A</v>
      </c>
    </row>
    <row r="548" spans="2:2">
      <c r="B548" t="e">
        <f>+VLOOKUP(Tabla3568[[#This Row],[Code]],Tabla35[#All],2,0)</f>
        <v>#N/A</v>
      </c>
    </row>
    <row r="549" spans="2:2">
      <c r="B549" t="e">
        <f>+VLOOKUP(Tabla3568[[#This Row],[Code]],Tabla35[#All],2,0)</f>
        <v>#N/A</v>
      </c>
    </row>
    <row r="550" spans="2:2">
      <c r="B550" t="e">
        <f>+VLOOKUP(Tabla3568[[#This Row],[Code]],Tabla35[#All],2,0)</f>
        <v>#N/A</v>
      </c>
    </row>
    <row r="551" spans="2:2">
      <c r="B551" t="e">
        <f>+VLOOKUP(Tabla3568[[#This Row],[Code]],Tabla35[#All],2,0)</f>
        <v>#N/A</v>
      </c>
    </row>
    <row r="552" spans="2:2">
      <c r="B552" t="e">
        <f>+VLOOKUP(Tabla3568[[#This Row],[Code]],Tabla35[#All],2,0)</f>
        <v>#N/A</v>
      </c>
    </row>
    <row r="553" spans="2:2">
      <c r="B553" t="e">
        <f>+VLOOKUP(Tabla3568[[#This Row],[Code]],Tabla35[#All],2,0)</f>
        <v>#N/A</v>
      </c>
    </row>
    <row r="554" spans="2:2">
      <c r="B554" t="e">
        <f>+VLOOKUP(Tabla3568[[#This Row],[Code]],Tabla35[#All],2,0)</f>
        <v>#N/A</v>
      </c>
    </row>
    <row r="555" spans="2:2">
      <c r="B555" t="e">
        <f>+VLOOKUP(Tabla3568[[#This Row],[Code]],Tabla35[#All],2,0)</f>
        <v>#N/A</v>
      </c>
    </row>
    <row r="556" spans="2:2">
      <c r="B556" t="e">
        <f>+VLOOKUP(Tabla3568[[#This Row],[Code]],Tabla35[#All],2,0)</f>
        <v>#N/A</v>
      </c>
    </row>
    <row r="557" spans="2:2">
      <c r="B557" t="e">
        <f>+VLOOKUP(Tabla3568[[#This Row],[Code]],Tabla35[#All],2,0)</f>
        <v>#N/A</v>
      </c>
    </row>
    <row r="558" spans="2:2">
      <c r="B558" t="e">
        <f>+VLOOKUP(Tabla3568[[#This Row],[Code]],Tabla35[#All],2,0)</f>
        <v>#N/A</v>
      </c>
    </row>
    <row r="559" spans="2:2">
      <c r="B559" t="e">
        <f>+VLOOKUP(Tabla3568[[#This Row],[Code]],Tabla35[#All],2,0)</f>
        <v>#N/A</v>
      </c>
    </row>
    <row r="560" spans="2:2">
      <c r="B560" t="e">
        <f>+VLOOKUP(Tabla3568[[#This Row],[Code]],Tabla35[#All],2,0)</f>
        <v>#N/A</v>
      </c>
    </row>
    <row r="561" spans="2:2">
      <c r="B561" t="e">
        <f>+VLOOKUP(Tabla3568[[#This Row],[Code]],Tabla35[#All],2,0)</f>
        <v>#N/A</v>
      </c>
    </row>
    <row r="562" spans="2:2">
      <c r="B562" t="e">
        <f>+VLOOKUP(Tabla3568[[#This Row],[Code]],Tabla35[#All],2,0)</f>
        <v>#N/A</v>
      </c>
    </row>
    <row r="563" spans="2:2">
      <c r="B563" t="e">
        <f>+VLOOKUP(Tabla3568[[#This Row],[Code]],Tabla35[#All],2,0)</f>
        <v>#N/A</v>
      </c>
    </row>
    <row r="564" spans="2:2">
      <c r="B564" t="e">
        <f>+VLOOKUP(Tabla3568[[#This Row],[Code]],Tabla35[#All],2,0)</f>
        <v>#N/A</v>
      </c>
    </row>
    <row r="565" spans="2:2">
      <c r="B565" t="e">
        <f>+VLOOKUP(Tabla3568[[#This Row],[Code]],Tabla35[#All],2,0)</f>
        <v>#N/A</v>
      </c>
    </row>
    <row r="566" spans="2:2">
      <c r="B566" t="e">
        <f>+VLOOKUP(Tabla3568[[#This Row],[Code]],Tabla35[#All],2,0)</f>
        <v>#N/A</v>
      </c>
    </row>
    <row r="567" spans="2:2">
      <c r="B567" t="e">
        <f>+VLOOKUP(Tabla3568[[#This Row],[Code]],Tabla35[#All],2,0)</f>
        <v>#N/A</v>
      </c>
    </row>
    <row r="568" spans="2:2">
      <c r="B568" t="e">
        <f>+VLOOKUP(Tabla3568[[#This Row],[Code]],Tabla35[#All],2,0)</f>
        <v>#N/A</v>
      </c>
    </row>
    <row r="569" spans="2:2">
      <c r="B569" t="e">
        <f>+VLOOKUP(Tabla3568[[#This Row],[Code]],Tabla35[#All],2,0)</f>
        <v>#N/A</v>
      </c>
    </row>
    <row r="570" spans="2:2">
      <c r="B570" t="e">
        <f>+VLOOKUP(Tabla3568[[#This Row],[Code]],Tabla35[#All],2,0)</f>
        <v>#N/A</v>
      </c>
    </row>
    <row r="571" spans="2:2">
      <c r="B571" t="e">
        <f>+VLOOKUP(Tabla3568[[#This Row],[Code]],Tabla35[#All],2,0)</f>
        <v>#N/A</v>
      </c>
    </row>
    <row r="572" spans="2:2">
      <c r="B572" t="e">
        <f>+VLOOKUP(Tabla3568[[#This Row],[Code]],Tabla35[#All],2,0)</f>
        <v>#N/A</v>
      </c>
    </row>
    <row r="573" spans="2:2">
      <c r="B573" t="e">
        <f>+VLOOKUP(Tabla3568[[#This Row],[Code]],Tabla35[#All],2,0)</f>
        <v>#N/A</v>
      </c>
    </row>
    <row r="574" spans="2:2">
      <c r="B574" t="e">
        <f>+VLOOKUP(Tabla3568[[#This Row],[Code]],Tabla35[#All],2,0)</f>
        <v>#N/A</v>
      </c>
    </row>
    <row r="575" spans="2:2">
      <c r="B575" t="e">
        <f>+VLOOKUP(Tabla3568[[#This Row],[Code]],Tabla35[#All],2,0)</f>
        <v>#N/A</v>
      </c>
    </row>
    <row r="576" spans="2:2">
      <c r="B576" t="e">
        <f>+VLOOKUP(Tabla3568[[#This Row],[Code]],Tabla35[#All],2,0)</f>
        <v>#N/A</v>
      </c>
    </row>
    <row r="577" spans="2:2">
      <c r="B577" t="e">
        <f>+VLOOKUP(Tabla3568[[#This Row],[Code]],Tabla35[#All],2,0)</f>
        <v>#N/A</v>
      </c>
    </row>
    <row r="578" spans="2:2">
      <c r="B578" t="e">
        <f>+VLOOKUP(Tabla3568[[#This Row],[Code]],Tabla35[#All],2,0)</f>
        <v>#N/A</v>
      </c>
    </row>
    <row r="579" spans="2:2">
      <c r="B579" t="e">
        <f>+VLOOKUP(Tabla3568[[#This Row],[Code]],Tabla35[#All],2,0)</f>
        <v>#N/A</v>
      </c>
    </row>
    <row r="580" spans="2:2">
      <c r="B580" t="e">
        <f>+VLOOKUP(Tabla3568[[#This Row],[Code]],Tabla35[#All],2,0)</f>
        <v>#N/A</v>
      </c>
    </row>
    <row r="581" spans="2:2">
      <c r="B581" t="e">
        <f>+VLOOKUP(Tabla3568[[#This Row],[Code]],Tabla35[#All],2,0)</f>
        <v>#N/A</v>
      </c>
    </row>
    <row r="582" spans="2:2">
      <c r="B582" t="e">
        <f>+VLOOKUP(Tabla3568[[#This Row],[Code]],Tabla35[#All],2,0)</f>
        <v>#N/A</v>
      </c>
    </row>
    <row r="583" spans="2:2">
      <c r="B583" t="e">
        <f>+VLOOKUP(Tabla3568[[#This Row],[Code]],Tabla35[#All],2,0)</f>
        <v>#N/A</v>
      </c>
    </row>
    <row r="584" spans="2:2">
      <c r="B584" t="e">
        <f>+VLOOKUP(Tabla3568[[#This Row],[Code]],Tabla35[#All],2,0)</f>
        <v>#N/A</v>
      </c>
    </row>
    <row r="585" spans="2:2">
      <c r="B585" t="e">
        <f>+VLOOKUP(Tabla3568[[#This Row],[Code]],Tabla35[#All],2,0)</f>
        <v>#N/A</v>
      </c>
    </row>
    <row r="586" spans="2:2">
      <c r="B586" t="e">
        <f>+VLOOKUP(Tabla3568[[#This Row],[Code]],Tabla35[#All],2,0)</f>
        <v>#N/A</v>
      </c>
    </row>
    <row r="587" spans="2:2">
      <c r="B587" t="e">
        <f>+VLOOKUP(Tabla3568[[#This Row],[Code]],Tabla35[#All],2,0)</f>
        <v>#N/A</v>
      </c>
    </row>
    <row r="588" spans="2:2">
      <c r="B588" t="e">
        <f>+VLOOKUP(Tabla3568[[#This Row],[Code]],Tabla35[#All],2,0)</f>
        <v>#N/A</v>
      </c>
    </row>
    <row r="589" spans="2:2">
      <c r="B589" t="e">
        <f>+VLOOKUP(Tabla3568[[#This Row],[Code]],Tabla35[#All],2,0)</f>
        <v>#N/A</v>
      </c>
    </row>
    <row r="590" spans="2:2">
      <c r="B590" t="e">
        <f>+VLOOKUP(Tabla3568[[#This Row],[Code]],Tabla35[#All],2,0)</f>
        <v>#N/A</v>
      </c>
    </row>
    <row r="591" spans="2:2">
      <c r="B591" t="e">
        <f>+VLOOKUP(Tabla3568[[#This Row],[Code]],Tabla35[#All],2,0)</f>
        <v>#N/A</v>
      </c>
    </row>
    <row r="592" spans="2:2">
      <c r="B592" t="e">
        <f>+VLOOKUP(Tabla3568[[#This Row],[Code]],Tabla35[#All],2,0)</f>
        <v>#N/A</v>
      </c>
    </row>
    <row r="593" spans="2:2">
      <c r="B593" t="e">
        <f>+VLOOKUP(Tabla3568[[#This Row],[Code]],Tabla35[#All],2,0)</f>
        <v>#N/A</v>
      </c>
    </row>
    <row r="594" spans="2:2">
      <c r="B594" t="e">
        <f>+VLOOKUP(Tabla3568[[#This Row],[Code]],Tabla35[#All],2,0)</f>
        <v>#N/A</v>
      </c>
    </row>
    <row r="595" spans="2:2">
      <c r="B595" t="e">
        <f>+VLOOKUP(Tabla3568[[#This Row],[Code]],Tabla35[#All],2,0)</f>
        <v>#N/A</v>
      </c>
    </row>
    <row r="596" spans="2:2">
      <c r="B596" t="e">
        <f>+VLOOKUP(Tabla3568[[#This Row],[Code]],Tabla35[#All],2,0)</f>
        <v>#N/A</v>
      </c>
    </row>
    <row r="597" spans="2:2">
      <c r="B597" t="e">
        <f>+VLOOKUP(Tabla3568[[#This Row],[Code]],Tabla35[#All],2,0)</f>
        <v>#N/A</v>
      </c>
    </row>
    <row r="598" spans="2:2">
      <c r="B598" t="e">
        <f>+VLOOKUP(Tabla3568[[#This Row],[Code]],Tabla35[#All],2,0)</f>
        <v>#N/A</v>
      </c>
    </row>
    <row r="599" spans="2:2">
      <c r="B599" t="e">
        <f>+VLOOKUP(Tabla3568[[#This Row],[Code]],Tabla35[#All],2,0)</f>
        <v>#N/A</v>
      </c>
    </row>
    <row r="600" spans="2:2">
      <c r="B600" t="e">
        <f>+VLOOKUP(Tabla3568[[#This Row],[Code]],Tabla35[#All],2,0)</f>
        <v>#N/A</v>
      </c>
    </row>
    <row r="601" spans="2:2">
      <c r="B601" t="e">
        <f>+VLOOKUP(Tabla3568[[#This Row],[Code]],Tabla35[#All],2,0)</f>
        <v>#N/A</v>
      </c>
    </row>
    <row r="602" spans="2:2">
      <c r="B602" t="e">
        <f>+VLOOKUP(Tabla3568[[#This Row],[Code]],Tabla35[#All],2,0)</f>
        <v>#N/A</v>
      </c>
    </row>
    <row r="603" spans="2:2">
      <c r="B603" t="e">
        <f>+VLOOKUP(Tabla3568[[#This Row],[Code]],Tabla35[#All],2,0)</f>
        <v>#N/A</v>
      </c>
    </row>
    <row r="604" spans="2:2">
      <c r="B604" t="e">
        <f>+VLOOKUP(Tabla3568[[#This Row],[Code]],Tabla35[#All],2,0)</f>
        <v>#N/A</v>
      </c>
    </row>
    <row r="605" spans="2:2">
      <c r="B605" t="e">
        <f>+VLOOKUP(Tabla3568[[#This Row],[Code]],Tabla35[#All],2,0)</f>
        <v>#N/A</v>
      </c>
    </row>
    <row r="606" spans="2:2">
      <c r="B606" t="e">
        <f>+VLOOKUP(Tabla3568[[#This Row],[Code]],Tabla35[#All],2,0)</f>
        <v>#N/A</v>
      </c>
    </row>
    <row r="607" spans="2:2">
      <c r="B607" t="e">
        <f>+VLOOKUP(Tabla3568[[#This Row],[Code]],Tabla35[#All],2,0)</f>
        <v>#N/A</v>
      </c>
    </row>
    <row r="608" spans="2:2">
      <c r="B608" t="e">
        <f>+VLOOKUP(Tabla3568[[#This Row],[Code]],Tabla35[#All],2,0)</f>
        <v>#N/A</v>
      </c>
    </row>
    <row r="609" spans="2:2">
      <c r="B609" t="e">
        <f>+VLOOKUP(Tabla3568[[#This Row],[Code]],Tabla35[#All],2,0)</f>
        <v>#N/A</v>
      </c>
    </row>
    <row r="610" spans="2:2">
      <c r="B610" t="e">
        <f>+VLOOKUP(Tabla3568[[#This Row],[Code]],Tabla35[#All],2,0)</f>
        <v>#N/A</v>
      </c>
    </row>
    <row r="611" spans="2:2">
      <c r="B611" t="e">
        <f>+VLOOKUP(Tabla3568[[#This Row],[Code]],Tabla35[#All],2,0)</f>
        <v>#N/A</v>
      </c>
    </row>
    <row r="612" spans="2:2">
      <c r="B612" t="e">
        <f>+VLOOKUP(Tabla3568[[#This Row],[Code]],Tabla35[#All],2,0)</f>
        <v>#N/A</v>
      </c>
    </row>
    <row r="613" spans="2:2">
      <c r="B613" t="e">
        <f>+VLOOKUP(Tabla3568[[#This Row],[Code]],Tabla35[#All],2,0)</f>
        <v>#N/A</v>
      </c>
    </row>
    <row r="614" spans="2:2">
      <c r="B614" t="e">
        <f>+VLOOKUP(Tabla3568[[#This Row],[Code]],Tabla35[#All],2,0)</f>
        <v>#N/A</v>
      </c>
    </row>
    <row r="615" spans="2:2">
      <c r="B615" t="e">
        <f>+VLOOKUP(Tabla3568[[#This Row],[Code]],Tabla35[#All],2,0)</f>
        <v>#N/A</v>
      </c>
    </row>
    <row r="616" spans="2:2">
      <c r="B616" t="e">
        <f>+VLOOKUP(Tabla3568[[#This Row],[Code]],Tabla35[#All],2,0)</f>
        <v>#N/A</v>
      </c>
    </row>
    <row r="617" spans="2:2">
      <c r="B617" t="e">
        <f>+VLOOKUP(Tabla3568[[#This Row],[Code]],Tabla35[#All],2,0)</f>
        <v>#N/A</v>
      </c>
    </row>
    <row r="618" spans="2:2">
      <c r="B618" t="e">
        <f>+VLOOKUP(Tabla3568[[#This Row],[Code]],Tabla35[#All],2,0)</f>
        <v>#N/A</v>
      </c>
    </row>
    <row r="619" spans="2:2">
      <c r="B619" t="e">
        <f>+VLOOKUP(Tabla3568[[#This Row],[Code]],Tabla35[#All],2,0)</f>
        <v>#N/A</v>
      </c>
    </row>
    <row r="620" spans="2:2">
      <c r="B620" t="e">
        <f>+VLOOKUP(Tabla3568[[#This Row],[Code]],Tabla35[#All],2,0)</f>
        <v>#N/A</v>
      </c>
    </row>
    <row r="621" spans="2:2">
      <c r="B621" t="e">
        <f>+VLOOKUP(Tabla3568[[#This Row],[Code]],Tabla35[#All],2,0)</f>
        <v>#N/A</v>
      </c>
    </row>
    <row r="622" spans="2:2">
      <c r="B622" t="e">
        <f>+VLOOKUP(Tabla3568[[#This Row],[Code]],Tabla35[#All],2,0)</f>
        <v>#N/A</v>
      </c>
    </row>
    <row r="623" spans="2:2">
      <c r="B623" t="e">
        <f>+VLOOKUP(Tabla3568[[#This Row],[Code]],Tabla35[#All],2,0)</f>
        <v>#N/A</v>
      </c>
    </row>
    <row r="624" spans="2:2">
      <c r="B624" t="e">
        <f>+VLOOKUP(Tabla3568[[#This Row],[Code]],Tabla35[#All],2,0)</f>
        <v>#N/A</v>
      </c>
    </row>
    <row r="625" spans="2:2">
      <c r="B625" t="e">
        <f>+VLOOKUP(Tabla3568[[#This Row],[Code]],Tabla35[#All],2,0)</f>
        <v>#N/A</v>
      </c>
    </row>
    <row r="626" spans="2:2">
      <c r="B626" t="e">
        <f>+VLOOKUP(Tabla3568[[#This Row],[Code]],Tabla35[#All],2,0)</f>
        <v>#N/A</v>
      </c>
    </row>
    <row r="627" spans="2:2">
      <c r="B627" t="e">
        <f>+VLOOKUP(Tabla3568[[#This Row],[Code]],Tabla35[#All],2,0)</f>
        <v>#N/A</v>
      </c>
    </row>
    <row r="628" spans="2:2">
      <c r="B628" t="e">
        <f>+VLOOKUP(Tabla3568[[#This Row],[Code]],Tabla35[#All],2,0)</f>
        <v>#N/A</v>
      </c>
    </row>
    <row r="629" spans="2:2">
      <c r="B629" t="e">
        <f>+VLOOKUP(Tabla3568[[#This Row],[Code]],Tabla35[#All],2,0)</f>
        <v>#N/A</v>
      </c>
    </row>
    <row r="630" spans="2:2">
      <c r="B630" t="e">
        <f>+VLOOKUP(Tabla3568[[#This Row],[Code]],Tabla35[#All],2,0)</f>
        <v>#N/A</v>
      </c>
    </row>
    <row r="631" spans="2:2">
      <c r="B631" t="e">
        <f>+VLOOKUP(Tabla3568[[#This Row],[Code]],Tabla35[#All],2,0)</f>
        <v>#N/A</v>
      </c>
    </row>
    <row r="632" spans="2:2">
      <c r="B632" t="e">
        <f>+VLOOKUP(Tabla3568[[#This Row],[Code]],Tabla35[#All],2,0)</f>
        <v>#N/A</v>
      </c>
    </row>
    <row r="633" spans="2:2">
      <c r="B633" t="e">
        <f>+VLOOKUP(Tabla3568[[#This Row],[Code]],Tabla35[#All],2,0)</f>
        <v>#N/A</v>
      </c>
    </row>
    <row r="634" spans="2:2">
      <c r="B634" t="e">
        <f>+VLOOKUP(Tabla3568[[#This Row],[Code]],Tabla35[#All],2,0)</f>
        <v>#N/A</v>
      </c>
    </row>
    <row r="635" spans="2:2">
      <c r="B635" t="e">
        <f>+VLOOKUP(Tabla3568[[#This Row],[Code]],Tabla35[#All],2,0)</f>
        <v>#N/A</v>
      </c>
    </row>
    <row r="636" spans="2:2">
      <c r="B636" t="e">
        <f>+VLOOKUP(Tabla3568[[#This Row],[Code]],Tabla35[#All],2,0)</f>
        <v>#N/A</v>
      </c>
    </row>
    <row r="637" spans="2:2">
      <c r="B637" t="e">
        <f>+VLOOKUP(Tabla3568[[#This Row],[Code]],Tabla35[#All],2,0)</f>
        <v>#N/A</v>
      </c>
    </row>
    <row r="638" spans="2:2">
      <c r="B638" t="e">
        <f>+VLOOKUP(Tabla3568[[#This Row],[Code]],Tabla35[#All],2,0)</f>
        <v>#N/A</v>
      </c>
    </row>
    <row r="639" spans="2:2">
      <c r="B639" t="e">
        <f>+VLOOKUP(Tabla3568[[#This Row],[Code]],Tabla35[#All],2,0)</f>
        <v>#N/A</v>
      </c>
    </row>
    <row r="640" spans="2:2">
      <c r="B640" t="e">
        <f>+VLOOKUP(Tabla3568[[#This Row],[Code]],Tabla35[#All],2,0)</f>
        <v>#N/A</v>
      </c>
    </row>
    <row r="641" spans="2:2">
      <c r="B641" t="e">
        <f>+VLOOKUP(Tabla3568[[#This Row],[Code]],Tabla35[#All],2,0)</f>
        <v>#N/A</v>
      </c>
    </row>
    <row r="642" spans="2:2">
      <c r="B642" t="e">
        <f>+VLOOKUP(Tabla3568[[#This Row],[Code]],Tabla35[#All],2,0)</f>
        <v>#N/A</v>
      </c>
    </row>
    <row r="643" spans="2:2">
      <c r="B643" t="e">
        <f>+VLOOKUP(Tabla3568[[#This Row],[Code]],Tabla35[#All],2,0)</f>
        <v>#N/A</v>
      </c>
    </row>
    <row r="644" spans="2:2">
      <c r="B644" t="e">
        <f>+VLOOKUP(Tabla3568[[#This Row],[Code]],Tabla35[#All],2,0)</f>
        <v>#N/A</v>
      </c>
    </row>
    <row r="645" spans="2:2">
      <c r="B645" t="e">
        <f>+VLOOKUP(Tabla3568[[#This Row],[Code]],Tabla35[#All],2,0)</f>
        <v>#N/A</v>
      </c>
    </row>
    <row r="646" spans="2:2">
      <c r="B646" t="e">
        <f>+VLOOKUP(Tabla3568[[#This Row],[Code]],Tabla35[#All],2,0)</f>
        <v>#N/A</v>
      </c>
    </row>
    <row r="647" spans="2:2">
      <c r="B647" t="e">
        <f>+VLOOKUP(Tabla3568[[#This Row],[Code]],Tabla35[#All],2,0)</f>
        <v>#N/A</v>
      </c>
    </row>
    <row r="648" spans="2:2">
      <c r="B648" t="e">
        <f>+VLOOKUP(Tabla3568[[#This Row],[Code]],Tabla35[#All],2,0)</f>
        <v>#N/A</v>
      </c>
    </row>
    <row r="649" spans="2:2">
      <c r="B649" t="e">
        <f>+VLOOKUP(Tabla3568[[#This Row],[Code]],Tabla35[#All],2,0)</f>
        <v>#N/A</v>
      </c>
    </row>
    <row r="650" spans="2:2">
      <c r="B650" t="e">
        <f>+VLOOKUP(Tabla3568[[#This Row],[Code]],Tabla35[#All],2,0)</f>
        <v>#N/A</v>
      </c>
    </row>
    <row r="651" spans="2:2">
      <c r="B651" t="e">
        <f>+VLOOKUP(Tabla3568[[#This Row],[Code]],Tabla35[#All],2,0)</f>
        <v>#N/A</v>
      </c>
    </row>
    <row r="652" spans="2:2">
      <c r="B652" t="e">
        <f>+VLOOKUP(Tabla3568[[#This Row],[Code]],Tabla35[#All],2,0)</f>
        <v>#N/A</v>
      </c>
    </row>
    <row r="653" spans="2:2">
      <c r="B653" t="e">
        <f>+VLOOKUP(Tabla3568[[#This Row],[Code]],Tabla35[#All],2,0)</f>
        <v>#N/A</v>
      </c>
    </row>
    <row r="654" spans="2:2">
      <c r="B654" t="e">
        <f>+VLOOKUP(Tabla3568[[#This Row],[Code]],Tabla35[#All],2,0)</f>
        <v>#N/A</v>
      </c>
    </row>
    <row r="655" spans="2:2">
      <c r="B655" t="e">
        <f>+VLOOKUP(Tabla3568[[#This Row],[Code]],Tabla35[#All],2,0)</f>
        <v>#N/A</v>
      </c>
    </row>
    <row r="656" spans="2:2">
      <c r="B656" t="e">
        <f>+VLOOKUP(Tabla3568[[#This Row],[Code]],Tabla35[#All],2,0)</f>
        <v>#N/A</v>
      </c>
    </row>
    <row r="657" spans="2:2">
      <c r="B657" t="e">
        <f>+VLOOKUP(Tabla3568[[#This Row],[Code]],Tabla35[#All],2,0)</f>
        <v>#N/A</v>
      </c>
    </row>
    <row r="658" spans="2:2">
      <c r="B658" t="e">
        <f>+VLOOKUP(Tabla3568[[#This Row],[Code]],Tabla35[#All],2,0)</f>
        <v>#N/A</v>
      </c>
    </row>
    <row r="659" spans="2:2">
      <c r="B659" t="e">
        <f>+VLOOKUP(Tabla3568[[#This Row],[Code]],Tabla35[#All],2,0)</f>
        <v>#N/A</v>
      </c>
    </row>
    <row r="660" spans="2:2">
      <c r="B660" t="e">
        <f>+VLOOKUP(Tabla3568[[#This Row],[Code]],Tabla35[#All],2,0)</f>
        <v>#N/A</v>
      </c>
    </row>
    <row r="661" spans="2:2">
      <c r="B661" t="e">
        <f>+VLOOKUP(Tabla3568[[#This Row],[Code]],Tabla35[#All],2,0)</f>
        <v>#N/A</v>
      </c>
    </row>
    <row r="662" spans="2:2">
      <c r="B662" t="e">
        <f>+VLOOKUP(Tabla3568[[#This Row],[Code]],Tabla35[#All],2,0)</f>
        <v>#N/A</v>
      </c>
    </row>
    <row r="663" spans="2:2">
      <c r="B663" t="e">
        <f>+VLOOKUP(Tabla3568[[#This Row],[Code]],Tabla35[#All],2,0)</f>
        <v>#N/A</v>
      </c>
    </row>
    <row r="664" spans="2:2">
      <c r="B664" t="e">
        <f>+VLOOKUP(Tabla3568[[#This Row],[Code]],Tabla35[#All],2,0)</f>
        <v>#N/A</v>
      </c>
    </row>
    <row r="665" spans="2:2">
      <c r="B665" t="e">
        <f>+VLOOKUP(Tabla3568[[#This Row],[Code]],Tabla35[#All],2,0)</f>
        <v>#N/A</v>
      </c>
    </row>
    <row r="666" spans="2:2">
      <c r="B666" t="e">
        <f>+VLOOKUP(Tabla3568[[#This Row],[Code]],Tabla35[#All],2,0)</f>
        <v>#N/A</v>
      </c>
    </row>
    <row r="667" spans="2:2">
      <c r="B667" t="e">
        <f>+VLOOKUP(Tabla3568[[#This Row],[Code]],Tabla35[#All],2,0)</f>
        <v>#N/A</v>
      </c>
    </row>
    <row r="668" spans="2:2">
      <c r="B668" t="e">
        <f>+VLOOKUP(Tabla3568[[#This Row],[Code]],Tabla35[#All],2,0)</f>
        <v>#N/A</v>
      </c>
    </row>
    <row r="669" spans="2:2">
      <c r="B669" t="e">
        <f>+VLOOKUP(Tabla3568[[#This Row],[Code]],Tabla35[#All],2,0)</f>
        <v>#N/A</v>
      </c>
    </row>
    <row r="670" spans="2:2">
      <c r="B670" t="e">
        <f>+VLOOKUP(Tabla3568[[#This Row],[Code]],Tabla35[#All],2,0)</f>
        <v>#N/A</v>
      </c>
    </row>
    <row r="671" spans="2:2">
      <c r="B671" t="e">
        <f>+VLOOKUP(Tabla3568[[#This Row],[Code]],Tabla35[#All],2,0)</f>
        <v>#N/A</v>
      </c>
    </row>
    <row r="672" spans="2:2">
      <c r="B672" t="e">
        <f>+VLOOKUP(Tabla3568[[#This Row],[Code]],Tabla35[#All],2,0)</f>
        <v>#N/A</v>
      </c>
    </row>
    <row r="673" spans="2:2">
      <c r="B673" t="e">
        <f>+VLOOKUP(Tabla3568[[#This Row],[Code]],Tabla35[#All],2,0)</f>
        <v>#N/A</v>
      </c>
    </row>
    <row r="674" spans="2:2">
      <c r="B674" t="e">
        <f>+VLOOKUP(Tabla3568[[#This Row],[Code]],Tabla35[#All],2,0)</f>
        <v>#N/A</v>
      </c>
    </row>
    <row r="675" spans="2:2">
      <c r="B675" t="e">
        <f>+VLOOKUP(Tabla3568[[#This Row],[Code]],Tabla35[#All],2,0)</f>
        <v>#N/A</v>
      </c>
    </row>
    <row r="676" spans="2:2">
      <c r="B676" t="e">
        <f>+VLOOKUP(Tabla3568[[#This Row],[Code]],Tabla35[#All],2,0)</f>
        <v>#N/A</v>
      </c>
    </row>
    <row r="677" spans="2:2">
      <c r="B677" t="e">
        <f>+VLOOKUP(Tabla3568[[#This Row],[Code]],Tabla35[#All],2,0)</f>
        <v>#N/A</v>
      </c>
    </row>
    <row r="678" spans="2:2">
      <c r="B678" t="e">
        <f>+VLOOKUP(Tabla3568[[#This Row],[Code]],Tabla35[#All],2,0)</f>
        <v>#N/A</v>
      </c>
    </row>
    <row r="679" spans="2:2">
      <c r="B679" t="e">
        <f>+VLOOKUP(Tabla3568[[#This Row],[Code]],Tabla35[#All],2,0)</f>
        <v>#N/A</v>
      </c>
    </row>
    <row r="680" spans="2:2">
      <c r="B680" t="e">
        <f>+VLOOKUP(Tabla3568[[#This Row],[Code]],Tabla35[#All],2,0)</f>
        <v>#N/A</v>
      </c>
    </row>
    <row r="681" spans="2:2">
      <c r="B681" t="e">
        <f>+VLOOKUP(Tabla3568[[#This Row],[Code]],Tabla35[#All],2,0)</f>
        <v>#N/A</v>
      </c>
    </row>
    <row r="682" spans="2:2">
      <c r="B682" t="e">
        <f>+VLOOKUP(Tabla3568[[#This Row],[Code]],Tabla35[#All],2,0)</f>
        <v>#N/A</v>
      </c>
    </row>
    <row r="683" spans="2:2">
      <c r="B683" t="e">
        <f>+VLOOKUP(Tabla3568[[#This Row],[Code]],Tabla35[#All],2,0)</f>
        <v>#N/A</v>
      </c>
    </row>
    <row r="684" spans="2:2">
      <c r="B684" t="e">
        <f>+VLOOKUP(Tabla3568[[#This Row],[Code]],Tabla35[#All],2,0)</f>
        <v>#N/A</v>
      </c>
    </row>
    <row r="685" spans="2:2">
      <c r="B685" t="e">
        <f>+VLOOKUP(Tabla3568[[#This Row],[Code]],Tabla35[#All],2,0)</f>
        <v>#N/A</v>
      </c>
    </row>
    <row r="686" spans="2:2">
      <c r="B686" t="e">
        <f>+VLOOKUP(Tabla3568[[#This Row],[Code]],Tabla35[#All],2,0)</f>
        <v>#N/A</v>
      </c>
    </row>
    <row r="687" spans="2:2">
      <c r="B687" t="e">
        <f>+VLOOKUP(Tabla3568[[#This Row],[Code]],Tabla35[#All],2,0)</f>
        <v>#N/A</v>
      </c>
    </row>
    <row r="688" spans="2:2">
      <c r="B688" t="e">
        <f>+VLOOKUP(Tabla3568[[#This Row],[Code]],Tabla35[#All],2,0)</f>
        <v>#N/A</v>
      </c>
    </row>
    <row r="689" spans="2:2">
      <c r="B689" t="e">
        <f>+VLOOKUP(Tabla3568[[#This Row],[Code]],Tabla35[#All],2,0)</f>
        <v>#N/A</v>
      </c>
    </row>
    <row r="690" spans="2:2">
      <c r="B690" t="e">
        <f>+VLOOKUP(Tabla3568[[#This Row],[Code]],Tabla35[#All],2,0)</f>
        <v>#N/A</v>
      </c>
    </row>
    <row r="691" spans="2:2">
      <c r="B691" t="e">
        <f>+VLOOKUP(Tabla3568[[#This Row],[Code]],Tabla35[#All],2,0)</f>
        <v>#N/A</v>
      </c>
    </row>
    <row r="692" spans="2:2">
      <c r="B692" t="e">
        <f>+VLOOKUP(Tabla3568[[#This Row],[Code]],Tabla35[#All],2,0)</f>
        <v>#N/A</v>
      </c>
    </row>
    <row r="693" spans="2:2">
      <c r="B693" t="e">
        <f>+VLOOKUP(Tabla3568[[#This Row],[Code]],Tabla35[#All],2,0)</f>
        <v>#N/A</v>
      </c>
    </row>
    <row r="694" spans="2:2">
      <c r="B694" t="e">
        <f>+VLOOKUP(Tabla3568[[#This Row],[Code]],Tabla35[#All],2,0)</f>
        <v>#N/A</v>
      </c>
    </row>
    <row r="695" spans="2:2">
      <c r="B695" t="e">
        <f>+VLOOKUP(Tabla3568[[#This Row],[Code]],Tabla35[#All],2,0)</f>
        <v>#N/A</v>
      </c>
    </row>
    <row r="696" spans="2:2">
      <c r="B696" t="e">
        <f>+VLOOKUP(Tabla3568[[#This Row],[Code]],Tabla35[#All],2,0)</f>
        <v>#N/A</v>
      </c>
    </row>
    <row r="697" spans="2:2">
      <c r="B697" t="e">
        <f>+VLOOKUP(Tabla3568[[#This Row],[Code]],Tabla35[#All],2,0)</f>
        <v>#N/A</v>
      </c>
    </row>
    <row r="698" spans="2:2">
      <c r="B698" t="e">
        <f>+VLOOKUP(Tabla3568[[#This Row],[Code]],Tabla35[#All],2,0)</f>
        <v>#N/A</v>
      </c>
    </row>
    <row r="699" spans="2:2">
      <c r="B699" t="e">
        <f>+VLOOKUP(Tabla3568[[#This Row],[Code]],Tabla35[#All],2,0)</f>
        <v>#N/A</v>
      </c>
    </row>
    <row r="700" spans="2:2">
      <c r="B700" t="e">
        <f>+VLOOKUP(Tabla3568[[#This Row],[Code]],Tabla35[#All],2,0)</f>
        <v>#N/A</v>
      </c>
    </row>
    <row r="701" spans="2:2">
      <c r="B701" t="e">
        <f>+VLOOKUP(Tabla3568[[#This Row],[Code]],Tabla35[#All],2,0)</f>
        <v>#N/A</v>
      </c>
    </row>
    <row r="702" spans="2:2">
      <c r="B702" t="e">
        <f>+VLOOKUP(Tabla3568[[#This Row],[Code]],Tabla35[#All],2,0)</f>
        <v>#N/A</v>
      </c>
    </row>
    <row r="703" spans="2:2">
      <c r="B703" t="e">
        <f>+VLOOKUP(Tabla3568[[#This Row],[Code]],Tabla35[#All],2,0)</f>
        <v>#N/A</v>
      </c>
    </row>
    <row r="704" spans="2:2">
      <c r="B704" t="e">
        <f>+VLOOKUP(Tabla3568[[#This Row],[Code]],Tabla35[#All],2,0)</f>
        <v>#N/A</v>
      </c>
    </row>
    <row r="705" spans="2:2">
      <c r="B705" t="e">
        <f>+VLOOKUP(Tabla3568[[#This Row],[Code]],Tabla35[#All],2,0)</f>
        <v>#N/A</v>
      </c>
    </row>
    <row r="706" spans="2:2">
      <c r="B706" t="e">
        <f>+VLOOKUP(Tabla3568[[#This Row],[Code]],Tabla35[#All],2,0)</f>
        <v>#N/A</v>
      </c>
    </row>
    <row r="707" spans="2:2">
      <c r="B707" t="e">
        <f>+VLOOKUP(Tabla3568[[#This Row],[Code]],Tabla35[#All],2,0)</f>
        <v>#N/A</v>
      </c>
    </row>
    <row r="708" spans="2:2">
      <c r="B708" t="e">
        <f>+VLOOKUP(Tabla3568[[#This Row],[Code]],Tabla35[#All],2,0)</f>
        <v>#N/A</v>
      </c>
    </row>
    <row r="709" spans="2:2">
      <c r="B709" t="e">
        <f>+VLOOKUP(Tabla3568[[#This Row],[Code]],Tabla35[#All],2,0)</f>
        <v>#N/A</v>
      </c>
    </row>
    <row r="710" spans="2:2">
      <c r="B710" t="e">
        <f>+VLOOKUP(Tabla3568[[#This Row],[Code]],Tabla35[#All],2,0)</f>
        <v>#N/A</v>
      </c>
    </row>
    <row r="711" spans="2:2">
      <c r="B711" t="e">
        <f>+VLOOKUP(Tabla3568[[#This Row],[Code]],Tabla35[#All],2,0)</f>
        <v>#N/A</v>
      </c>
    </row>
    <row r="712" spans="2:2">
      <c r="B712" t="e">
        <f>+VLOOKUP(Tabla3568[[#This Row],[Code]],Tabla35[#All],2,0)</f>
        <v>#N/A</v>
      </c>
    </row>
    <row r="713" spans="2:2">
      <c r="B713" t="e">
        <f>+VLOOKUP(Tabla3568[[#This Row],[Code]],Tabla35[#All],2,0)</f>
        <v>#N/A</v>
      </c>
    </row>
    <row r="714" spans="2:2">
      <c r="B714" t="e">
        <f>+VLOOKUP(Tabla3568[[#This Row],[Code]],Tabla35[#All],2,0)</f>
        <v>#N/A</v>
      </c>
    </row>
    <row r="715" spans="2:2">
      <c r="B715" t="e">
        <f>+VLOOKUP(Tabla3568[[#This Row],[Code]],Tabla35[#All],2,0)</f>
        <v>#N/A</v>
      </c>
    </row>
    <row r="716" spans="2:2">
      <c r="B716" t="e">
        <f>+VLOOKUP(Tabla3568[[#This Row],[Code]],Tabla35[#All],2,0)</f>
        <v>#N/A</v>
      </c>
    </row>
    <row r="717" spans="2:2">
      <c r="B717" t="e">
        <f>+VLOOKUP(Tabla3568[[#This Row],[Code]],Tabla35[#All],2,0)</f>
        <v>#N/A</v>
      </c>
    </row>
    <row r="718" spans="2:2">
      <c r="B718" t="e">
        <f>+VLOOKUP(Tabla3568[[#This Row],[Code]],Tabla35[#All],2,0)</f>
        <v>#N/A</v>
      </c>
    </row>
    <row r="719" spans="2:2">
      <c r="B719" t="e">
        <f>+VLOOKUP(Tabla3568[[#This Row],[Code]],Tabla35[#All],2,0)</f>
        <v>#N/A</v>
      </c>
    </row>
    <row r="720" spans="2:2">
      <c r="B720" t="e">
        <f>+VLOOKUP(Tabla3568[[#This Row],[Code]],Tabla35[#All],2,0)</f>
        <v>#N/A</v>
      </c>
    </row>
    <row r="721" spans="2:2">
      <c r="B721" t="e">
        <f>+VLOOKUP(Tabla3568[[#This Row],[Code]],Tabla35[#All],2,0)</f>
        <v>#N/A</v>
      </c>
    </row>
    <row r="722" spans="2:2">
      <c r="B722" t="e">
        <f>+VLOOKUP(Tabla3568[[#This Row],[Code]],Tabla35[#All],2,0)</f>
        <v>#N/A</v>
      </c>
    </row>
    <row r="723" spans="2:2">
      <c r="B723" t="e">
        <f>+VLOOKUP(Tabla3568[[#This Row],[Code]],Tabla35[#All],2,0)</f>
        <v>#N/A</v>
      </c>
    </row>
    <row r="724" spans="2:2">
      <c r="B724" t="e">
        <f>+VLOOKUP(Tabla3568[[#This Row],[Code]],Tabla35[#All],2,0)</f>
        <v>#N/A</v>
      </c>
    </row>
    <row r="725" spans="2:2">
      <c r="B725" t="e">
        <f>+VLOOKUP(Tabla3568[[#This Row],[Code]],Tabla35[#All],2,0)</f>
        <v>#N/A</v>
      </c>
    </row>
    <row r="726" spans="2:2">
      <c r="B726" t="e">
        <f>+VLOOKUP(Tabla3568[[#This Row],[Code]],Tabla35[#All],2,0)</f>
        <v>#N/A</v>
      </c>
    </row>
    <row r="727" spans="2:2">
      <c r="B727" t="e">
        <f>+VLOOKUP(Tabla3568[[#This Row],[Code]],Tabla35[#All],2,0)</f>
        <v>#N/A</v>
      </c>
    </row>
    <row r="728" spans="2:2">
      <c r="B728" t="e">
        <f>+VLOOKUP(Tabla3568[[#This Row],[Code]],Tabla35[#All],2,0)</f>
        <v>#N/A</v>
      </c>
    </row>
    <row r="729" spans="2:2">
      <c r="B729" t="e">
        <f>+VLOOKUP(Tabla3568[[#This Row],[Code]],Tabla35[#All],2,0)</f>
        <v>#N/A</v>
      </c>
    </row>
    <row r="730" spans="2:2">
      <c r="B730" t="e">
        <f>+VLOOKUP(Tabla3568[[#This Row],[Code]],Tabla35[#All],2,0)</f>
        <v>#N/A</v>
      </c>
    </row>
    <row r="731" spans="2:2">
      <c r="B731" t="e">
        <f>+VLOOKUP(Tabla3568[[#This Row],[Code]],Tabla35[#All],2,0)</f>
        <v>#N/A</v>
      </c>
    </row>
    <row r="732" spans="2:2">
      <c r="B732" t="e">
        <f>+VLOOKUP(Tabla3568[[#This Row],[Code]],Tabla35[#All],2,0)</f>
        <v>#N/A</v>
      </c>
    </row>
    <row r="733" spans="2:2">
      <c r="B733" t="e">
        <f>+VLOOKUP(Tabla3568[[#This Row],[Code]],Tabla35[#All],2,0)</f>
        <v>#N/A</v>
      </c>
    </row>
    <row r="734" spans="2:2">
      <c r="B734" t="e">
        <f>+VLOOKUP(Tabla3568[[#This Row],[Code]],Tabla35[#All],2,0)</f>
        <v>#N/A</v>
      </c>
    </row>
    <row r="735" spans="2:2">
      <c r="B735" t="e">
        <f>+VLOOKUP(Tabla3568[[#This Row],[Code]],Tabla35[#All],2,0)</f>
        <v>#N/A</v>
      </c>
    </row>
    <row r="736" spans="2:2">
      <c r="B736" t="e">
        <f>+VLOOKUP(Tabla3568[[#This Row],[Code]],Tabla35[#All],2,0)</f>
        <v>#N/A</v>
      </c>
    </row>
    <row r="737" spans="2:2">
      <c r="B737" t="e">
        <f>+VLOOKUP(Tabla3568[[#This Row],[Code]],Tabla35[#All],2,0)</f>
        <v>#N/A</v>
      </c>
    </row>
    <row r="738" spans="2:2">
      <c r="B738" t="e">
        <f>+VLOOKUP(Tabla3568[[#This Row],[Code]],Tabla35[#All],2,0)</f>
        <v>#N/A</v>
      </c>
    </row>
    <row r="739" spans="2:2">
      <c r="B739" t="e">
        <f>+VLOOKUP(Tabla3568[[#This Row],[Code]],Tabla35[#All],2,0)</f>
        <v>#N/A</v>
      </c>
    </row>
    <row r="740" spans="2:2">
      <c r="B740" t="e">
        <f>+VLOOKUP(Tabla3568[[#This Row],[Code]],Tabla35[#All],2,0)</f>
        <v>#N/A</v>
      </c>
    </row>
    <row r="741" spans="2:2">
      <c r="B741" t="e">
        <f>+VLOOKUP(Tabla3568[[#This Row],[Code]],Tabla35[#All],2,0)</f>
        <v>#N/A</v>
      </c>
    </row>
    <row r="742" spans="2:2">
      <c r="B742" t="e">
        <f>+VLOOKUP(Tabla3568[[#This Row],[Code]],Tabla35[#All],2,0)</f>
        <v>#N/A</v>
      </c>
    </row>
    <row r="743" spans="2:2">
      <c r="B743" t="e">
        <f>+VLOOKUP(Tabla3568[[#This Row],[Code]],Tabla35[#All],2,0)</f>
        <v>#N/A</v>
      </c>
    </row>
    <row r="744" spans="2:2">
      <c r="B744" t="e">
        <f>+VLOOKUP(Tabla3568[[#This Row],[Code]],Tabla35[#All],2,0)</f>
        <v>#N/A</v>
      </c>
    </row>
    <row r="745" spans="2:2">
      <c r="B745" t="e">
        <f>+VLOOKUP(Tabla3568[[#This Row],[Code]],Tabla35[#All],2,0)</f>
        <v>#N/A</v>
      </c>
    </row>
    <row r="746" spans="2:2">
      <c r="B746" t="e">
        <f>+VLOOKUP(Tabla3568[[#This Row],[Code]],Tabla35[#All],2,0)</f>
        <v>#N/A</v>
      </c>
    </row>
    <row r="747" spans="2:2">
      <c r="B747" t="e">
        <f>+VLOOKUP(Tabla3568[[#This Row],[Code]],Tabla35[#All],2,0)</f>
        <v>#N/A</v>
      </c>
    </row>
    <row r="748" spans="2:2">
      <c r="B748" t="e">
        <f>+VLOOKUP(Tabla3568[[#This Row],[Code]],Tabla35[#All],2,0)</f>
        <v>#N/A</v>
      </c>
    </row>
    <row r="749" spans="2:2">
      <c r="B749" t="e">
        <f>+VLOOKUP(Tabla3568[[#This Row],[Code]],Tabla35[#All],2,0)</f>
        <v>#N/A</v>
      </c>
    </row>
    <row r="750" spans="2:2">
      <c r="B750" t="e">
        <f>+VLOOKUP(Tabla3568[[#This Row],[Code]],Tabla35[#All],2,0)</f>
        <v>#N/A</v>
      </c>
    </row>
    <row r="751" spans="2:2">
      <c r="B751" t="e">
        <f>+VLOOKUP(Tabla3568[[#This Row],[Code]],Tabla35[#All],2,0)</f>
        <v>#N/A</v>
      </c>
    </row>
    <row r="752" spans="2:2">
      <c r="B752" t="e">
        <f>+VLOOKUP(Tabla3568[[#This Row],[Code]],Tabla35[#All],2,0)</f>
        <v>#N/A</v>
      </c>
    </row>
    <row r="753" spans="2:2">
      <c r="B753" t="e">
        <f>+VLOOKUP(Tabla3568[[#This Row],[Code]],Tabla35[#All],2,0)</f>
        <v>#N/A</v>
      </c>
    </row>
    <row r="754" spans="2:2">
      <c r="B754" t="e">
        <f>+VLOOKUP(Tabla3568[[#This Row],[Code]],Tabla35[#All],2,0)</f>
        <v>#N/A</v>
      </c>
    </row>
    <row r="755" spans="2:2">
      <c r="B755" t="e">
        <f>+VLOOKUP(Tabla3568[[#This Row],[Code]],Tabla35[#All],2,0)</f>
        <v>#N/A</v>
      </c>
    </row>
    <row r="756" spans="2:2">
      <c r="B756" t="e">
        <f>+VLOOKUP(Tabla3568[[#This Row],[Code]],Tabla35[#All],2,0)</f>
        <v>#N/A</v>
      </c>
    </row>
    <row r="757" spans="2:2">
      <c r="B757" t="e">
        <f>+VLOOKUP(Tabla3568[[#This Row],[Code]],Tabla35[#All],2,0)</f>
        <v>#N/A</v>
      </c>
    </row>
    <row r="758" spans="2:2">
      <c r="B758" t="e">
        <f>+VLOOKUP(Tabla3568[[#This Row],[Code]],Tabla35[#All],2,0)</f>
        <v>#N/A</v>
      </c>
    </row>
    <row r="759" spans="2:2">
      <c r="B759" t="e">
        <f>+VLOOKUP(Tabla3568[[#This Row],[Code]],Tabla35[#All],2,0)</f>
        <v>#N/A</v>
      </c>
    </row>
    <row r="760" spans="2:2">
      <c r="B760" t="e">
        <f>+VLOOKUP(Tabla3568[[#This Row],[Code]],Tabla35[#All],2,0)</f>
        <v>#N/A</v>
      </c>
    </row>
    <row r="761" spans="2:2">
      <c r="B761" t="e">
        <f>+VLOOKUP(Tabla3568[[#This Row],[Code]],Tabla35[#All],2,0)</f>
        <v>#N/A</v>
      </c>
    </row>
    <row r="762" spans="2:2">
      <c r="B762" t="e">
        <f>+VLOOKUP(Tabla3568[[#This Row],[Code]],Tabla35[#All],2,0)</f>
        <v>#N/A</v>
      </c>
    </row>
    <row r="763" spans="2:2">
      <c r="B763" t="e">
        <f>+VLOOKUP(Tabla3568[[#This Row],[Code]],Tabla35[#All],2,0)</f>
        <v>#N/A</v>
      </c>
    </row>
    <row r="764" spans="2:2">
      <c r="B764" t="e">
        <f>+VLOOKUP(Tabla3568[[#This Row],[Code]],Tabla35[#All],2,0)</f>
        <v>#N/A</v>
      </c>
    </row>
    <row r="765" spans="2:2">
      <c r="B765" t="e">
        <f>+VLOOKUP(Tabla3568[[#This Row],[Code]],Tabla35[#All],2,0)</f>
        <v>#N/A</v>
      </c>
    </row>
    <row r="766" spans="2:2">
      <c r="B766" t="e">
        <f>+VLOOKUP(Tabla3568[[#This Row],[Code]],Tabla35[#All],2,0)</f>
        <v>#N/A</v>
      </c>
    </row>
    <row r="767" spans="2:2">
      <c r="B767" t="e">
        <f>+VLOOKUP(Tabla3568[[#This Row],[Code]],Tabla35[#All],2,0)</f>
        <v>#N/A</v>
      </c>
    </row>
    <row r="768" spans="2:2">
      <c r="B768" t="e">
        <f>+VLOOKUP(Tabla3568[[#This Row],[Code]],Tabla35[#All],2,0)</f>
        <v>#N/A</v>
      </c>
    </row>
    <row r="769" spans="2:2">
      <c r="B769" t="e">
        <f>+VLOOKUP(Tabla3568[[#This Row],[Code]],Tabla35[#All],2,0)</f>
        <v>#N/A</v>
      </c>
    </row>
    <row r="770" spans="2:2">
      <c r="B770" t="e">
        <f>+VLOOKUP(Tabla3568[[#This Row],[Code]],Tabla35[#All],2,0)</f>
        <v>#N/A</v>
      </c>
    </row>
    <row r="771" spans="2:2">
      <c r="B771" t="e">
        <f>+VLOOKUP(Tabla3568[[#This Row],[Code]],Tabla35[#All],2,0)</f>
        <v>#N/A</v>
      </c>
    </row>
    <row r="772" spans="2:2">
      <c r="B772" t="e">
        <f>+VLOOKUP(Tabla3568[[#This Row],[Code]],Tabla35[#All],2,0)</f>
        <v>#N/A</v>
      </c>
    </row>
    <row r="773" spans="2:2">
      <c r="B773" t="e">
        <f>+VLOOKUP(Tabla3568[[#This Row],[Code]],Tabla35[#All],2,0)</f>
        <v>#N/A</v>
      </c>
    </row>
    <row r="774" spans="2:2">
      <c r="B774" t="e">
        <f>+VLOOKUP(Tabla3568[[#This Row],[Code]],Tabla35[#All],2,0)</f>
        <v>#N/A</v>
      </c>
    </row>
    <row r="775" spans="2:2">
      <c r="B775" t="e">
        <f>+VLOOKUP(Tabla3568[[#This Row],[Code]],Tabla35[#All],2,0)</f>
        <v>#N/A</v>
      </c>
    </row>
    <row r="776" spans="2:2">
      <c r="B776" t="e">
        <f>+VLOOKUP(Tabla3568[[#This Row],[Code]],Tabla35[#All],2,0)</f>
        <v>#N/A</v>
      </c>
    </row>
    <row r="777" spans="2:2">
      <c r="B777" t="e">
        <f>+VLOOKUP(Tabla3568[[#This Row],[Code]],Tabla35[#All],2,0)</f>
        <v>#N/A</v>
      </c>
    </row>
    <row r="778" spans="2:2">
      <c r="B778" t="e">
        <f>+VLOOKUP(Tabla3568[[#This Row],[Code]],Tabla35[#All],2,0)</f>
        <v>#N/A</v>
      </c>
    </row>
    <row r="779" spans="2:2">
      <c r="B779" t="e">
        <f>+VLOOKUP(Tabla3568[[#This Row],[Code]],Tabla35[#All],2,0)</f>
        <v>#N/A</v>
      </c>
    </row>
    <row r="780" spans="2:2">
      <c r="B780" t="e">
        <f>+VLOOKUP(Tabla3568[[#This Row],[Code]],Tabla35[#All],2,0)</f>
        <v>#N/A</v>
      </c>
    </row>
    <row r="781" spans="2:2">
      <c r="B781" t="e">
        <f>+VLOOKUP(Tabla3568[[#This Row],[Code]],Tabla35[#All],2,0)</f>
        <v>#N/A</v>
      </c>
    </row>
    <row r="782" spans="2:2">
      <c r="B782" t="e">
        <f>+VLOOKUP(Tabla3568[[#This Row],[Code]],Tabla35[#All],2,0)</f>
        <v>#N/A</v>
      </c>
    </row>
    <row r="783" spans="2:2">
      <c r="B783" t="e">
        <f>+VLOOKUP(Tabla3568[[#This Row],[Code]],Tabla35[#All],2,0)</f>
        <v>#N/A</v>
      </c>
    </row>
    <row r="784" spans="2:2">
      <c r="B784" t="e">
        <f>+VLOOKUP(Tabla3568[[#This Row],[Code]],Tabla35[#All],2,0)</f>
        <v>#N/A</v>
      </c>
    </row>
    <row r="785" spans="2:2">
      <c r="B785" t="e">
        <f>+VLOOKUP(Tabla3568[[#This Row],[Code]],Tabla35[#All],2,0)</f>
        <v>#N/A</v>
      </c>
    </row>
    <row r="786" spans="2:2">
      <c r="B786" t="e">
        <f>+VLOOKUP(Tabla3568[[#This Row],[Code]],Tabla35[#All],2,0)</f>
        <v>#N/A</v>
      </c>
    </row>
    <row r="787" spans="2:2">
      <c r="B787" t="e">
        <f>+VLOOKUP(Tabla3568[[#This Row],[Code]],Tabla35[#All],2,0)</f>
        <v>#N/A</v>
      </c>
    </row>
    <row r="788" spans="2:2">
      <c r="B788" t="e">
        <f>+VLOOKUP(Tabla3568[[#This Row],[Code]],Tabla35[#All],2,0)</f>
        <v>#N/A</v>
      </c>
    </row>
    <row r="789" spans="2:2">
      <c r="B789" t="e">
        <f>+VLOOKUP(Tabla3568[[#This Row],[Code]],Tabla35[#All],2,0)</f>
        <v>#N/A</v>
      </c>
    </row>
    <row r="790" spans="2:2">
      <c r="B790" t="e">
        <f>+VLOOKUP(Tabla3568[[#This Row],[Code]],Tabla35[#All],2,0)</f>
        <v>#N/A</v>
      </c>
    </row>
    <row r="791" spans="2:2">
      <c r="B791" t="e">
        <f>+VLOOKUP(Tabla3568[[#This Row],[Code]],Tabla35[#All],2,0)</f>
        <v>#N/A</v>
      </c>
    </row>
    <row r="792" spans="2:2">
      <c r="B792" t="e">
        <f>+VLOOKUP(Tabla3568[[#This Row],[Code]],Tabla35[#All],2,0)</f>
        <v>#N/A</v>
      </c>
    </row>
    <row r="793" spans="2:2">
      <c r="B793" t="e">
        <f>+VLOOKUP(Tabla3568[[#This Row],[Code]],Tabla35[#All],2,0)</f>
        <v>#N/A</v>
      </c>
    </row>
    <row r="794" spans="2:2">
      <c r="B794" t="e">
        <f>+VLOOKUP(Tabla3568[[#This Row],[Code]],Tabla35[#All],2,0)</f>
        <v>#N/A</v>
      </c>
    </row>
    <row r="795" spans="2:2">
      <c r="B795" t="e">
        <f>+VLOOKUP(Tabla3568[[#This Row],[Code]],Tabla35[#All],2,0)</f>
        <v>#N/A</v>
      </c>
    </row>
    <row r="796" spans="2:2">
      <c r="B796" t="e">
        <f>+VLOOKUP(Tabla3568[[#This Row],[Code]],Tabla35[#All],2,0)</f>
        <v>#N/A</v>
      </c>
    </row>
    <row r="797" spans="2:2">
      <c r="B797" t="e">
        <f>+VLOOKUP(Tabla3568[[#This Row],[Code]],Tabla35[#All],2,0)</f>
        <v>#N/A</v>
      </c>
    </row>
    <row r="798" spans="2:2">
      <c r="B798" t="e">
        <f>+VLOOKUP(Tabla3568[[#This Row],[Code]],Tabla35[#All],2,0)</f>
        <v>#N/A</v>
      </c>
    </row>
    <row r="799" spans="2:2">
      <c r="B799" t="e">
        <f>+VLOOKUP(Tabla3568[[#This Row],[Code]],Tabla35[#All],2,0)</f>
        <v>#N/A</v>
      </c>
    </row>
    <row r="800" spans="2:2">
      <c r="B800" t="e">
        <f>+VLOOKUP(Tabla3568[[#This Row],[Code]],Tabla35[#All],2,0)</f>
        <v>#N/A</v>
      </c>
    </row>
    <row r="801" spans="2:2">
      <c r="B801" t="e">
        <f>+VLOOKUP(Tabla3568[[#This Row],[Code]],Tabla35[#All],2,0)</f>
        <v>#N/A</v>
      </c>
    </row>
    <row r="802" spans="2:2">
      <c r="B802" t="e">
        <f>+VLOOKUP(Tabla3568[[#This Row],[Code]],Tabla35[#All],2,0)</f>
        <v>#N/A</v>
      </c>
    </row>
    <row r="803" spans="2:2">
      <c r="B803" t="e">
        <f>+VLOOKUP(Tabla3568[[#This Row],[Code]],Tabla35[#All],2,0)</f>
        <v>#N/A</v>
      </c>
    </row>
    <row r="804" spans="2:2">
      <c r="B804" t="e">
        <f>+VLOOKUP(Tabla3568[[#This Row],[Code]],Tabla35[#All],2,0)</f>
        <v>#N/A</v>
      </c>
    </row>
    <row r="805" spans="2:2">
      <c r="B805" t="e">
        <f>+VLOOKUP(Tabla3568[[#This Row],[Code]],Tabla35[#All],2,0)</f>
        <v>#N/A</v>
      </c>
    </row>
    <row r="806" spans="2:2">
      <c r="B806" t="e">
        <f>+VLOOKUP(Tabla3568[[#This Row],[Code]],Tabla35[#All],2,0)</f>
        <v>#N/A</v>
      </c>
    </row>
    <row r="807" spans="2:2">
      <c r="B807" t="e">
        <f>+VLOOKUP(Tabla3568[[#This Row],[Code]],Tabla35[#All],2,0)</f>
        <v>#N/A</v>
      </c>
    </row>
    <row r="808" spans="2:2">
      <c r="B808" t="e">
        <f>+VLOOKUP(Tabla3568[[#This Row],[Code]],Tabla35[#All],2,0)</f>
        <v>#N/A</v>
      </c>
    </row>
    <row r="809" spans="2:2">
      <c r="B809" t="e">
        <f>+VLOOKUP(Tabla3568[[#This Row],[Code]],Tabla35[#All],2,0)</f>
        <v>#N/A</v>
      </c>
    </row>
    <row r="810" spans="2:2">
      <c r="B810" t="e">
        <f>+VLOOKUP(Tabla3568[[#This Row],[Code]],Tabla35[#All],2,0)</f>
        <v>#N/A</v>
      </c>
    </row>
    <row r="811" spans="2:2">
      <c r="B811" t="e">
        <f>+VLOOKUP(Tabla3568[[#This Row],[Code]],Tabla35[#All],2,0)</f>
        <v>#N/A</v>
      </c>
    </row>
    <row r="812" spans="2:2">
      <c r="B812" t="e">
        <f>+VLOOKUP(Tabla3568[[#This Row],[Code]],Tabla35[#All],2,0)</f>
        <v>#N/A</v>
      </c>
    </row>
    <row r="813" spans="2:2">
      <c r="B813" t="e">
        <f>+VLOOKUP(Tabla3568[[#This Row],[Code]],Tabla35[#All],2,0)</f>
        <v>#N/A</v>
      </c>
    </row>
    <row r="814" spans="2:2">
      <c r="B814" t="e">
        <f>+VLOOKUP(Tabla3568[[#This Row],[Code]],Tabla35[#All],2,0)</f>
        <v>#N/A</v>
      </c>
    </row>
    <row r="815" spans="2:2">
      <c r="B815" t="e">
        <f>+VLOOKUP(Tabla3568[[#This Row],[Code]],Tabla35[#All],2,0)</f>
        <v>#N/A</v>
      </c>
    </row>
    <row r="816" spans="2:2">
      <c r="B816" t="e">
        <f>+VLOOKUP(Tabla3568[[#This Row],[Code]],Tabla35[#All],2,0)</f>
        <v>#N/A</v>
      </c>
    </row>
    <row r="817" spans="2:2">
      <c r="B817" t="e">
        <f>+VLOOKUP(Tabla3568[[#This Row],[Code]],Tabla35[#All],2,0)</f>
        <v>#N/A</v>
      </c>
    </row>
    <row r="818" spans="2:2">
      <c r="B818" t="e">
        <f>+VLOOKUP(Tabla3568[[#This Row],[Code]],Tabla35[#All],2,0)</f>
        <v>#N/A</v>
      </c>
    </row>
    <row r="819" spans="2:2">
      <c r="B819" t="e">
        <f>+VLOOKUP(Tabla3568[[#This Row],[Code]],Tabla35[#All],2,0)</f>
        <v>#N/A</v>
      </c>
    </row>
    <row r="820" spans="2:2">
      <c r="B820" t="e">
        <f>+VLOOKUP(Tabla3568[[#This Row],[Code]],Tabla35[#All],2,0)</f>
        <v>#N/A</v>
      </c>
    </row>
    <row r="821" spans="2:2">
      <c r="B821" t="e">
        <f>+VLOOKUP(Tabla3568[[#This Row],[Code]],Tabla35[#All],2,0)</f>
        <v>#N/A</v>
      </c>
    </row>
    <row r="822" spans="2:2">
      <c r="B822" t="e">
        <f>+VLOOKUP(Tabla3568[[#This Row],[Code]],Tabla35[#All],2,0)</f>
        <v>#N/A</v>
      </c>
    </row>
    <row r="823" spans="2:2">
      <c r="B823" t="e">
        <f>+VLOOKUP(Tabla3568[[#This Row],[Code]],Tabla35[#All],2,0)</f>
        <v>#N/A</v>
      </c>
    </row>
    <row r="824" spans="2:2">
      <c r="B824" t="e">
        <f>+VLOOKUP(Tabla3568[[#This Row],[Code]],Tabla35[#All],2,0)</f>
        <v>#N/A</v>
      </c>
    </row>
    <row r="825" spans="2:2">
      <c r="B825" t="e">
        <f>+VLOOKUP(Tabla3568[[#This Row],[Code]],Tabla35[#All],2,0)</f>
        <v>#N/A</v>
      </c>
    </row>
    <row r="826" spans="2:2">
      <c r="B826" t="e">
        <f>+VLOOKUP(Tabla3568[[#This Row],[Code]],Tabla35[#All],2,0)</f>
        <v>#N/A</v>
      </c>
    </row>
    <row r="827" spans="2:2">
      <c r="B827" t="e">
        <f>+VLOOKUP(Tabla3568[[#This Row],[Code]],Tabla35[#All],2,0)</f>
        <v>#N/A</v>
      </c>
    </row>
    <row r="828" spans="2:2">
      <c r="B828" t="e">
        <f>+VLOOKUP(Tabla3568[[#This Row],[Code]],Tabla35[#All],2,0)</f>
        <v>#N/A</v>
      </c>
    </row>
    <row r="829" spans="2:2">
      <c r="B829" t="e">
        <f>+VLOOKUP(Tabla3568[[#This Row],[Code]],Tabla35[#All],2,0)</f>
        <v>#N/A</v>
      </c>
    </row>
    <row r="830" spans="2:2">
      <c r="B830" t="e">
        <f>+VLOOKUP(Tabla3568[[#This Row],[Code]],Tabla35[#All],2,0)</f>
        <v>#N/A</v>
      </c>
    </row>
    <row r="831" spans="2:2">
      <c r="B831" t="e">
        <f>+VLOOKUP(Tabla3568[[#This Row],[Code]],Tabla35[#All],2,0)</f>
        <v>#N/A</v>
      </c>
    </row>
    <row r="832" spans="2:2">
      <c r="B832" t="e">
        <f>+VLOOKUP(Tabla3568[[#This Row],[Code]],Tabla35[#All],2,0)</f>
        <v>#N/A</v>
      </c>
    </row>
    <row r="833" spans="2:2">
      <c r="B833" t="e">
        <f>+VLOOKUP(Tabla3568[[#This Row],[Code]],Tabla35[#All],2,0)</f>
        <v>#N/A</v>
      </c>
    </row>
    <row r="834" spans="2:2">
      <c r="B834" t="e">
        <f>+VLOOKUP(Tabla3568[[#This Row],[Code]],Tabla35[#All],2,0)</f>
        <v>#N/A</v>
      </c>
    </row>
    <row r="835" spans="2:2">
      <c r="B835" t="e">
        <f>+VLOOKUP(Tabla3568[[#This Row],[Code]],Tabla35[#All],2,0)</f>
        <v>#N/A</v>
      </c>
    </row>
    <row r="836" spans="2:2">
      <c r="B836" t="e">
        <f>+VLOOKUP(Tabla3568[[#This Row],[Code]],Tabla35[#All],2,0)</f>
        <v>#N/A</v>
      </c>
    </row>
    <row r="837" spans="2:2">
      <c r="B837" t="e">
        <f>+VLOOKUP(Tabla3568[[#This Row],[Code]],Tabla35[#All],2,0)</f>
        <v>#N/A</v>
      </c>
    </row>
    <row r="838" spans="2:2">
      <c r="B838" t="e">
        <f>+VLOOKUP(Tabla3568[[#This Row],[Code]],Tabla35[#All],2,0)</f>
        <v>#N/A</v>
      </c>
    </row>
    <row r="839" spans="2:2">
      <c r="B839" t="e">
        <f>+VLOOKUP(Tabla3568[[#This Row],[Code]],Tabla35[#All],2,0)</f>
        <v>#N/A</v>
      </c>
    </row>
    <row r="840" spans="2:2">
      <c r="B840" t="e">
        <f>+VLOOKUP(Tabla3568[[#This Row],[Code]],Tabla35[#All],2,0)</f>
        <v>#N/A</v>
      </c>
    </row>
    <row r="841" spans="2:2">
      <c r="B841" t="e">
        <f>+VLOOKUP(Tabla3568[[#This Row],[Code]],Tabla35[#All],2,0)</f>
        <v>#N/A</v>
      </c>
    </row>
    <row r="842" spans="2:2">
      <c r="B842" t="e">
        <f>+VLOOKUP(Tabla3568[[#This Row],[Code]],Tabla35[#All],2,0)</f>
        <v>#N/A</v>
      </c>
    </row>
    <row r="843" spans="2:2">
      <c r="B843" t="e">
        <f>+VLOOKUP(Tabla3568[[#This Row],[Code]],Tabla35[#All],2,0)</f>
        <v>#N/A</v>
      </c>
    </row>
    <row r="844" spans="2:2">
      <c r="B844" t="e">
        <f>+VLOOKUP(Tabla3568[[#This Row],[Code]],Tabla35[#All],2,0)</f>
        <v>#N/A</v>
      </c>
    </row>
    <row r="845" spans="2:2">
      <c r="B845" t="e">
        <f>+VLOOKUP(Tabla3568[[#This Row],[Code]],Tabla35[#All],2,0)</f>
        <v>#N/A</v>
      </c>
    </row>
    <row r="846" spans="2:2">
      <c r="B846" t="e">
        <f>+VLOOKUP(Tabla3568[[#This Row],[Code]],Tabla35[#All],2,0)</f>
        <v>#N/A</v>
      </c>
    </row>
    <row r="847" spans="2:2">
      <c r="B847" t="e">
        <f>+VLOOKUP(Tabla3568[[#This Row],[Code]],Tabla35[#All],2,0)</f>
        <v>#N/A</v>
      </c>
    </row>
    <row r="848" spans="2:2">
      <c r="B848" t="e">
        <f>+VLOOKUP(Tabla3568[[#This Row],[Code]],Tabla35[#All],2,0)</f>
        <v>#N/A</v>
      </c>
    </row>
    <row r="849" spans="2:2">
      <c r="B849" t="e">
        <f>+VLOOKUP(Tabla3568[[#This Row],[Code]],Tabla35[#All],2,0)</f>
        <v>#N/A</v>
      </c>
    </row>
    <row r="850" spans="2:2">
      <c r="B850" t="e">
        <f>+VLOOKUP(Tabla3568[[#This Row],[Code]],Tabla35[#All],2,0)</f>
        <v>#N/A</v>
      </c>
    </row>
    <row r="851" spans="2:2">
      <c r="B851" t="e">
        <f>+VLOOKUP(Tabla3568[[#This Row],[Code]],Tabla35[#All],2,0)</f>
        <v>#N/A</v>
      </c>
    </row>
    <row r="852" spans="2:2">
      <c r="B852" t="e">
        <f>+VLOOKUP(Tabla3568[[#This Row],[Code]],Tabla35[#All],2,0)</f>
        <v>#N/A</v>
      </c>
    </row>
    <row r="853" spans="2:2">
      <c r="B853" t="e">
        <f>+VLOOKUP(Tabla3568[[#This Row],[Code]],Tabla35[#All],2,0)</f>
        <v>#N/A</v>
      </c>
    </row>
    <row r="854" spans="2:2">
      <c r="B854" t="e">
        <f>+VLOOKUP(Tabla3568[[#This Row],[Code]],Tabla35[#All],2,0)</f>
        <v>#N/A</v>
      </c>
    </row>
    <row r="855" spans="2:2">
      <c r="B855" t="e">
        <f>+VLOOKUP(Tabla3568[[#This Row],[Code]],Tabla35[#All],2,0)</f>
        <v>#N/A</v>
      </c>
    </row>
    <row r="856" spans="2:2">
      <c r="B856" t="e">
        <f>+VLOOKUP(Tabla3568[[#This Row],[Code]],Tabla35[#All],2,0)</f>
        <v>#N/A</v>
      </c>
    </row>
    <row r="857" spans="2:2">
      <c r="B857" t="e">
        <f>+VLOOKUP(Tabla3568[[#This Row],[Code]],Tabla35[#All],2,0)</f>
        <v>#N/A</v>
      </c>
    </row>
    <row r="858" spans="2:2">
      <c r="B858" t="e">
        <f>+VLOOKUP(Tabla3568[[#This Row],[Code]],Tabla35[#All],2,0)</f>
        <v>#N/A</v>
      </c>
    </row>
    <row r="859" spans="2:2">
      <c r="B859" t="e">
        <f>+VLOOKUP(Tabla3568[[#This Row],[Code]],Tabla35[#All],2,0)</f>
        <v>#N/A</v>
      </c>
    </row>
    <row r="860" spans="2:2">
      <c r="B860" t="e">
        <f>+VLOOKUP(Tabla3568[[#This Row],[Code]],Tabla35[#All],2,0)</f>
        <v>#N/A</v>
      </c>
    </row>
    <row r="861" spans="2:2">
      <c r="B861" t="e">
        <f>+VLOOKUP(Tabla3568[[#This Row],[Code]],Tabla35[#All],2,0)</f>
        <v>#N/A</v>
      </c>
    </row>
    <row r="862" spans="2:2">
      <c r="B862" t="e">
        <f>+VLOOKUP(Tabla3568[[#This Row],[Code]],Tabla35[#All],2,0)</f>
        <v>#N/A</v>
      </c>
    </row>
    <row r="863" spans="2:2">
      <c r="B863" t="e">
        <f>+VLOOKUP(Tabla3568[[#This Row],[Code]],Tabla35[#All],2,0)</f>
        <v>#N/A</v>
      </c>
    </row>
    <row r="864" spans="2:2">
      <c r="B864" t="e">
        <f>+VLOOKUP(Tabla3568[[#This Row],[Code]],Tabla35[#All],2,0)</f>
        <v>#N/A</v>
      </c>
    </row>
    <row r="865" spans="2:2">
      <c r="B865" t="e">
        <f>+VLOOKUP(Tabla3568[[#This Row],[Code]],Tabla35[#All],2,0)</f>
        <v>#N/A</v>
      </c>
    </row>
    <row r="866" spans="2:2">
      <c r="B866" t="e">
        <f>+VLOOKUP(Tabla3568[[#This Row],[Code]],Tabla35[#All],2,0)</f>
        <v>#N/A</v>
      </c>
    </row>
    <row r="867" spans="2:2">
      <c r="B867" t="e">
        <f>+VLOOKUP(Tabla3568[[#This Row],[Code]],Tabla35[#All],2,0)</f>
        <v>#N/A</v>
      </c>
    </row>
    <row r="868" spans="2:2">
      <c r="B868" t="e">
        <f>+VLOOKUP(Tabla3568[[#This Row],[Code]],Tabla35[#All],2,0)</f>
        <v>#N/A</v>
      </c>
    </row>
    <row r="869" spans="2:2">
      <c r="B869" t="e">
        <f>+VLOOKUP(Tabla3568[[#This Row],[Code]],Tabla35[#All],2,0)</f>
        <v>#N/A</v>
      </c>
    </row>
    <row r="870" spans="2:2">
      <c r="B870" t="e">
        <f>+VLOOKUP(Tabla3568[[#This Row],[Code]],Tabla35[#All],2,0)</f>
        <v>#N/A</v>
      </c>
    </row>
    <row r="871" spans="2:2">
      <c r="B871" t="e">
        <f>+VLOOKUP(Tabla3568[[#This Row],[Code]],Tabla35[#All],2,0)</f>
        <v>#N/A</v>
      </c>
    </row>
    <row r="872" spans="2:2">
      <c r="B872" t="e">
        <f>+VLOOKUP(Tabla3568[[#This Row],[Code]],Tabla35[#All],2,0)</f>
        <v>#N/A</v>
      </c>
    </row>
    <row r="873" spans="2:2">
      <c r="B873" t="e">
        <f>+VLOOKUP(Tabla3568[[#This Row],[Code]],Tabla35[#All],2,0)</f>
        <v>#N/A</v>
      </c>
    </row>
    <row r="874" spans="2:2">
      <c r="B874" t="e">
        <f>+VLOOKUP(Tabla3568[[#This Row],[Code]],Tabla35[#All],2,0)</f>
        <v>#N/A</v>
      </c>
    </row>
    <row r="875" spans="2:2">
      <c r="B875" t="e">
        <f>+VLOOKUP(Tabla3568[[#This Row],[Code]],Tabla35[#All],2,0)</f>
        <v>#N/A</v>
      </c>
    </row>
    <row r="876" spans="2:2">
      <c r="B876" t="e">
        <f>+VLOOKUP(Tabla3568[[#This Row],[Code]],Tabla35[#All],2,0)</f>
        <v>#N/A</v>
      </c>
    </row>
    <row r="877" spans="2:2">
      <c r="B877" t="e">
        <f>+VLOOKUP(Tabla3568[[#This Row],[Code]],Tabla35[#All],2,0)</f>
        <v>#N/A</v>
      </c>
    </row>
    <row r="878" spans="2:2">
      <c r="B878" t="e">
        <f>+VLOOKUP(Tabla3568[[#This Row],[Code]],Tabla35[#All],2,0)</f>
        <v>#N/A</v>
      </c>
    </row>
    <row r="879" spans="2:2">
      <c r="B879" t="e">
        <f>+VLOOKUP(Tabla3568[[#This Row],[Code]],Tabla35[#All],2,0)</f>
        <v>#N/A</v>
      </c>
    </row>
    <row r="880" spans="2:2">
      <c r="B880" t="e">
        <f>+VLOOKUP(Tabla3568[[#This Row],[Code]],Tabla35[#All],2,0)</f>
        <v>#N/A</v>
      </c>
    </row>
    <row r="881" spans="2:2">
      <c r="B881" t="e">
        <f>+VLOOKUP(Tabla3568[[#This Row],[Code]],Tabla35[#All],2,0)</f>
        <v>#N/A</v>
      </c>
    </row>
    <row r="882" spans="2:2">
      <c r="B882" t="e">
        <f>+VLOOKUP(Tabla3568[[#This Row],[Code]],Tabla35[#All],2,0)</f>
        <v>#N/A</v>
      </c>
    </row>
    <row r="883" spans="2:2">
      <c r="B883" t="e">
        <f>+VLOOKUP(Tabla3568[[#This Row],[Code]],Tabla35[#All],2,0)</f>
        <v>#N/A</v>
      </c>
    </row>
    <row r="884" spans="2:2">
      <c r="B884" t="e">
        <f>+VLOOKUP(Tabla3568[[#This Row],[Code]],Tabla35[#All],2,0)</f>
        <v>#N/A</v>
      </c>
    </row>
    <row r="885" spans="2:2">
      <c r="B885" t="e">
        <f>+VLOOKUP(Tabla3568[[#This Row],[Code]],Tabla35[#All],2,0)</f>
        <v>#N/A</v>
      </c>
    </row>
    <row r="886" spans="2:2">
      <c r="B886" t="e">
        <f>+VLOOKUP(Tabla3568[[#This Row],[Code]],Tabla35[#All],2,0)</f>
        <v>#N/A</v>
      </c>
    </row>
    <row r="887" spans="2:2">
      <c r="B887" t="e">
        <f>+VLOOKUP(Tabla3568[[#This Row],[Code]],Tabla35[#All],2,0)</f>
        <v>#N/A</v>
      </c>
    </row>
    <row r="888" spans="2:2">
      <c r="B888" t="e">
        <f>+VLOOKUP(Tabla3568[[#This Row],[Code]],Tabla35[#All],2,0)</f>
        <v>#N/A</v>
      </c>
    </row>
    <row r="889" spans="2:2">
      <c r="B889" t="e">
        <f>+VLOOKUP(Tabla3568[[#This Row],[Code]],Tabla35[#All],2,0)</f>
        <v>#N/A</v>
      </c>
    </row>
    <row r="890" spans="2:2">
      <c r="B890" t="e">
        <f>+VLOOKUP(Tabla3568[[#This Row],[Code]],Tabla35[#All],2,0)</f>
        <v>#N/A</v>
      </c>
    </row>
    <row r="891" spans="2:2">
      <c r="B891" t="e">
        <f>+VLOOKUP(Tabla3568[[#This Row],[Code]],Tabla35[#All],2,0)</f>
        <v>#N/A</v>
      </c>
    </row>
    <row r="892" spans="2:2">
      <c r="B892" t="e">
        <f>+VLOOKUP(Tabla3568[[#This Row],[Code]],Tabla35[#All],2,0)</f>
        <v>#N/A</v>
      </c>
    </row>
    <row r="893" spans="2:2">
      <c r="B893" t="e">
        <f>+VLOOKUP(Tabla3568[[#This Row],[Code]],Tabla35[#All],2,0)</f>
        <v>#N/A</v>
      </c>
    </row>
    <row r="894" spans="2:2">
      <c r="B894" t="e">
        <f>+VLOOKUP(Tabla3568[[#This Row],[Code]],Tabla35[#All],2,0)</f>
        <v>#N/A</v>
      </c>
    </row>
    <row r="895" spans="2:2">
      <c r="B895" t="e">
        <f>+VLOOKUP(Tabla3568[[#This Row],[Code]],Tabla35[#All],2,0)</f>
        <v>#N/A</v>
      </c>
    </row>
    <row r="896" spans="2:2">
      <c r="B896" t="e">
        <f>+VLOOKUP(Tabla3568[[#This Row],[Code]],Tabla35[#All],2,0)</f>
        <v>#N/A</v>
      </c>
    </row>
    <row r="897" spans="2:2">
      <c r="B897" t="e">
        <f>+VLOOKUP(Tabla3568[[#This Row],[Code]],Tabla35[#All],2,0)</f>
        <v>#N/A</v>
      </c>
    </row>
    <row r="898" spans="2:2">
      <c r="B898" t="e">
        <f>+VLOOKUP(Tabla3568[[#This Row],[Code]],Tabla35[#All],2,0)</f>
        <v>#N/A</v>
      </c>
    </row>
    <row r="899" spans="2:2">
      <c r="B899" t="e">
        <f>+VLOOKUP(Tabla3568[[#This Row],[Code]],Tabla35[#All],2,0)</f>
        <v>#N/A</v>
      </c>
    </row>
    <row r="900" spans="2:2">
      <c r="B900" t="e">
        <f>+VLOOKUP(Tabla3568[[#This Row],[Code]],Tabla35[#All],2,0)</f>
        <v>#N/A</v>
      </c>
    </row>
    <row r="901" spans="2:2">
      <c r="B901" t="e">
        <f>+VLOOKUP(Tabla3568[[#This Row],[Code]],Tabla35[#All],2,0)</f>
        <v>#N/A</v>
      </c>
    </row>
    <row r="902" spans="2:2">
      <c r="B902" t="e">
        <f>+VLOOKUP(Tabla3568[[#This Row],[Code]],Tabla35[#All],2,0)</f>
        <v>#N/A</v>
      </c>
    </row>
    <row r="903" spans="2:2">
      <c r="B903" t="e">
        <f>+VLOOKUP(Tabla3568[[#This Row],[Code]],Tabla35[#All],2,0)</f>
        <v>#N/A</v>
      </c>
    </row>
    <row r="904" spans="2:2">
      <c r="B904" t="e">
        <f>+VLOOKUP(Tabla3568[[#This Row],[Code]],Tabla35[#All],2,0)</f>
        <v>#N/A</v>
      </c>
    </row>
    <row r="905" spans="2:2">
      <c r="B905" t="e">
        <f>+VLOOKUP(Tabla3568[[#This Row],[Code]],Tabla35[#All],2,0)</f>
        <v>#N/A</v>
      </c>
    </row>
    <row r="906" spans="2:2">
      <c r="B906" t="e">
        <f>+VLOOKUP(Tabla3568[[#This Row],[Code]],Tabla35[#All],2,0)</f>
        <v>#N/A</v>
      </c>
    </row>
    <row r="907" spans="2:2">
      <c r="B907" t="e">
        <f>+VLOOKUP(Tabla3568[[#This Row],[Code]],Tabla35[#All],2,0)</f>
        <v>#N/A</v>
      </c>
    </row>
    <row r="908" spans="2:2">
      <c r="B908" t="e">
        <f>+VLOOKUP(Tabla3568[[#This Row],[Code]],Tabla35[#All],2,0)</f>
        <v>#N/A</v>
      </c>
    </row>
    <row r="909" spans="2:2">
      <c r="B909" t="e">
        <f>+VLOOKUP(Tabla3568[[#This Row],[Code]],Tabla35[#All],2,0)</f>
        <v>#N/A</v>
      </c>
    </row>
    <row r="910" spans="2:2">
      <c r="B910" t="e">
        <f>+VLOOKUP(Tabla3568[[#This Row],[Code]],Tabla35[#All],2,0)</f>
        <v>#N/A</v>
      </c>
    </row>
    <row r="911" spans="2:2">
      <c r="B911" t="e">
        <f>+VLOOKUP(Tabla3568[[#This Row],[Code]],Tabla35[#All],2,0)</f>
        <v>#N/A</v>
      </c>
    </row>
    <row r="912" spans="2:2">
      <c r="B912" t="e">
        <f>+VLOOKUP(Tabla3568[[#This Row],[Code]],Tabla35[#All],2,0)</f>
        <v>#N/A</v>
      </c>
    </row>
    <row r="913" spans="2:2">
      <c r="B913" t="e">
        <f>+VLOOKUP(Tabla3568[[#This Row],[Code]],Tabla35[#All],2,0)</f>
        <v>#N/A</v>
      </c>
    </row>
    <row r="914" spans="2:2">
      <c r="B914" t="e">
        <f>+VLOOKUP(Tabla3568[[#This Row],[Code]],Tabla35[#All],2,0)</f>
        <v>#N/A</v>
      </c>
    </row>
    <row r="915" spans="2:2">
      <c r="B915" t="e">
        <f>+VLOOKUP(Tabla3568[[#This Row],[Code]],Tabla35[#All],2,0)</f>
        <v>#N/A</v>
      </c>
    </row>
    <row r="916" spans="2:2">
      <c r="B916" t="e">
        <f>+VLOOKUP(Tabla3568[[#This Row],[Code]],Tabla35[#All],2,0)</f>
        <v>#N/A</v>
      </c>
    </row>
    <row r="917" spans="2:2">
      <c r="B917" t="e">
        <f>+VLOOKUP(Tabla3568[[#This Row],[Code]],Tabla35[#All],2,0)</f>
        <v>#N/A</v>
      </c>
    </row>
    <row r="918" spans="2:2">
      <c r="B918" t="e">
        <f>+VLOOKUP(Tabla3568[[#This Row],[Code]],Tabla35[#All],2,0)</f>
        <v>#N/A</v>
      </c>
    </row>
    <row r="919" spans="2:2">
      <c r="B919" t="e">
        <f>+VLOOKUP(Tabla3568[[#This Row],[Code]],Tabla35[#All],2,0)</f>
        <v>#N/A</v>
      </c>
    </row>
    <row r="920" spans="2:2">
      <c r="B920" t="e">
        <f>+VLOOKUP(Tabla3568[[#This Row],[Code]],Tabla35[#All],2,0)</f>
        <v>#N/A</v>
      </c>
    </row>
    <row r="921" spans="2:2">
      <c r="B921" t="e">
        <f>+VLOOKUP(Tabla3568[[#This Row],[Code]],Tabla35[#All],2,0)</f>
        <v>#N/A</v>
      </c>
    </row>
    <row r="922" spans="2:2">
      <c r="B922" t="e">
        <f>+VLOOKUP(Tabla3568[[#This Row],[Code]],Tabla35[#All],2,0)</f>
        <v>#N/A</v>
      </c>
    </row>
    <row r="923" spans="2:2">
      <c r="B923" t="e">
        <f>+VLOOKUP(Tabla3568[[#This Row],[Code]],Tabla35[#All],2,0)</f>
        <v>#N/A</v>
      </c>
    </row>
    <row r="924" spans="2:2">
      <c r="B924" t="e">
        <f>+VLOOKUP(Tabla3568[[#This Row],[Code]],Tabla35[#All],2,0)</f>
        <v>#N/A</v>
      </c>
    </row>
    <row r="925" spans="2:2">
      <c r="B925" t="e">
        <f>+VLOOKUP(Tabla3568[[#This Row],[Code]],Tabla35[#All],2,0)</f>
        <v>#N/A</v>
      </c>
    </row>
  </sheetData>
  <mergeCells count="1">
    <mergeCell ref="A1:E3"/>
  </mergeCells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293DC-A940-4771-976F-EA9758B746E0}">
  <dimension ref="A1:J12"/>
  <sheetViews>
    <sheetView topLeftCell="A14" workbookViewId="0">
      <selection activeCell="A47" sqref="A47"/>
    </sheetView>
  </sheetViews>
  <sheetFormatPr defaultColWidth="8.85546875" defaultRowHeight="14.45"/>
  <cols>
    <col min="1" max="1" width="24.140625" bestFit="1" customWidth="1"/>
    <col min="2" max="2" width="11.85546875" bestFit="1" customWidth="1"/>
  </cols>
  <sheetData>
    <row r="1" spans="1:10" ht="18.600000000000001">
      <c r="A1" s="72" t="s">
        <v>109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18.600000000000001">
      <c r="A2" s="48"/>
      <c r="B2" s="48"/>
      <c r="C2" s="48"/>
      <c r="D2" s="48"/>
      <c r="E2" s="48"/>
      <c r="F2" s="48"/>
      <c r="G2" s="48"/>
      <c r="H2" s="48"/>
      <c r="I2" s="49"/>
      <c r="J2" s="49"/>
    </row>
    <row r="3" spans="1:10" ht="18.600000000000001">
      <c r="A3" s="48"/>
      <c r="B3" s="48"/>
      <c r="C3" s="48"/>
      <c r="D3" s="48"/>
      <c r="E3" s="48"/>
      <c r="F3" s="48"/>
      <c r="G3" s="48"/>
      <c r="H3" s="48"/>
      <c r="I3" s="49"/>
      <c r="J3" s="49"/>
    </row>
    <row r="4" spans="1:10">
      <c r="A4" s="71" t="s">
        <v>110</v>
      </c>
      <c r="B4" s="71"/>
      <c r="C4" s="49"/>
      <c r="D4" s="49"/>
      <c r="E4" s="49"/>
      <c r="F4" s="49"/>
      <c r="G4" s="49"/>
      <c r="H4" s="49"/>
      <c r="I4" s="49"/>
      <c r="J4" s="49"/>
    </row>
    <row r="5" spans="1:10">
      <c r="A5" s="44" t="s">
        <v>104</v>
      </c>
      <c r="B5" s="50">
        <v>44900</v>
      </c>
      <c r="C5" s="49"/>
      <c r="D5" s="49"/>
      <c r="E5" s="49"/>
      <c r="F5" s="49"/>
      <c r="G5" s="49"/>
      <c r="H5" s="49"/>
      <c r="I5" s="49"/>
      <c r="J5" s="49"/>
    </row>
    <row r="6" spans="1:10">
      <c r="C6" s="49"/>
      <c r="D6" s="49"/>
      <c r="E6" s="49"/>
      <c r="F6" s="49"/>
      <c r="G6" s="49"/>
      <c r="H6" s="49"/>
      <c r="I6" s="49"/>
      <c r="J6" s="49"/>
    </row>
    <row r="7" spans="1:10">
      <c r="A7" s="44" t="s">
        <v>111</v>
      </c>
      <c r="B7" t="s">
        <v>112</v>
      </c>
      <c r="C7" s="49"/>
      <c r="D7" s="49"/>
      <c r="E7" s="49"/>
      <c r="F7" s="49"/>
      <c r="G7" s="49"/>
      <c r="H7" s="49"/>
      <c r="I7" s="49"/>
      <c r="J7" s="49"/>
    </row>
    <row r="8" spans="1:10">
      <c r="A8" s="45" t="s">
        <v>108</v>
      </c>
      <c r="B8" s="47">
        <v>3</v>
      </c>
      <c r="C8" s="49"/>
      <c r="D8" s="49"/>
      <c r="E8" s="49"/>
      <c r="F8" s="49"/>
      <c r="G8" s="49"/>
      <c r="H8" s="49"/>
      <c r="I8" s="49"/>
      <c r="J8" s="49"/>
    </row>
    <row r="9" spans="1:10">
      <c r="A9" s="46" t="s">
        <v>99</v>
      </c>
      <c r="B9" s="47">
        <v>2</v>
      </c>
      <c r="C9" s="49"/>
      <c r="D9" s="49"/>
      <c r="E9" s="49"/>
      <c r="F9" s="49"/>
      <c r="G9" s="49"/>
      <c r="H9" s="49"/>
      <c r="I9" s="49"/>
      <c r="J9" s="49"/>
    </row>
    <row r="10" spans="1:10">
      <c r="A10" s="46" t="s">
        <v>89</v>
      </c>
      <c r="B10" s="47">
        <v>1</v>
      </c>
      <c r="C10" s="49"/>
      <c r="D10" s="49"/>
      <c r="E10" s="49"/>
      <c r="F10" s="49"/>
      <c r="G10" s="49"/>
      <c r="H10" s="49"/>
      <c r="I10" s="49"/>
      <c r="J10" s="49"/>
    </row>
    <row r="11" spans="1:10">
      <c r="A11" s="45" t="s">
        <v>113</v>
      </c>
      <c r="B11" s="47">
        <v>3</v>
      </c>
      <c r="C11" s="49"/>
      <c r="D11" s="49"/>
      <c r="E11" s="49"/>
      <c r="F11" s="49"/>
      <c r="G11" s="49"/>
      <c r="H11" s="49"/>
      <c r="I11" s="49"/>
      <c r="J11" s="49"/>
    </row>
    <row r="12" spans="1:10">
      <c r="A12" s="49"/>
      <c r="B12" s="49"/>
      <c r="C12" s="49"/>
      <c r="D12" s="49"/>
      <c r="E12" s="49"/>
      <c r="F12" s="49"/>
      <c r="G12" s="49"/>
      <c r="H12" s="49"/>
      <c r="I12" s="49"/>
      <c r="J12" s="49"/>
    </row>
  </sheetData>
  <mergeCells count="2">
    <mergeCell ref="A4:B4"/>
    <mergeCell ref="A1:J1"/>
  </mergeCell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352BF-191F-6845-89AD-FBD7706963B7}">
  <sheetPr codeName="Hoja5">
    <tabColor theme="7" tint="0.79998168889431442"/>
    <pageSetUpPr fitToPage="1"/>
  </sheetPr>
  <dimension ref="A1:M20"/>
  <sheetViews>
    <sheetView tabSelected="1" zoomScale="85" zoomScaleNormal="85" workbookViewId="0">
      <selection activeCell="P25" sqref="P25"/>
    </sheetView>
  </sheetViews>
  <sheetFormatPr defaultColWidth="11.42578125" defaultRowHeight="15" customHeight="1"/>
  <cols>
    <col min="1" max="1" width="16.85546875" customWidth="1"/>
    <col min="2" max="2" width="29.42578125" customWidth="1"/>
    <col min="3" max="3" width="19" hidden="1" customWidth="1"/>
    <col min="4" max="4" width="18.140625" hidden="1" customWidth="1"/>
    <col min="5" max="5" width="13.42578125" hidden="1" customWidth="1"/>
    <col min="6" max="6" width="19.42578125" bestFit="1" customWidth="1"/>
    <col min="7" max="7" width="35.140625" style="34" customWidth="1"/>
    <col min="8" max="8" width="28.42578125" customWidth="1"/>
    <col min="9" max="9" width="17.5703125" style="33" hidden="1" customWidth="1"/>
    <col min="10" max="10" width="17.5703125" style="33" customWidth="1"/>
    <col min="11" max="11" width="29.42578125" style="33" customWidth="1"/>
    <col min="12" max="12" width="26.42578125" style="33" customWidth="1"/>
    <col min="13" max="13" width="25.42578125" customWidth="1"/>
  </cols>
  <sheetData>
    <row r="1" spans="1:13" ht="48" customHeight="1">
      <c r="A1" s="69" t="s">
        <v>71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</row>
    <row r="2" spans="1:13" ht="39.75" customHeight="1">
      <c r="A2" s="51" t="s">
        <v>72</v>
      </c>
      <c r="B2" s="51" t="s">
        <v>3</v>
      </c>
      <c r="C2" s="51" t="s">
        <v>73</v>
      </c>
      <c r="D2" s="51" t="s">
        <v>74</v>
      </c>
      <c r="E2" s="52" t="s">
        <v>75</v>
      </c>
      <c r="F2" s="53" t="s">
        <v>76</v>
      </c>
      <c r="G2" s="54" t="s">
        <v>77</v>
      </c>
      <c r="H2" s="53" t="s">
        <v>78</v>
      </c>
      <c r="I2" s="55" t="s">
        <v>79</v>
      </c>
      <c r="J2" s="55" t="s">
        <v>80</v>
      </c>
      <c r="K2" s="55" t="s">
        <v>81</v>
      </c>
      <c r="L2" s="55" t="s">
        <v>82</v>
      </c>
      <c r="M2" s="53" t="s">
        <v>83</v>
      </c>
    </row>
    <row r="3" spans="1:13" ht="34.35" customHeight="1">
      <c r="A3" s="56" t="s">
        <v>84</v>
      </c>
      <c r="B3" s="57" t="s">
        <v>85</v>
      </c>
      <c r="C3" s="58">
        <v>5</v>
      </c>
      <c r="D3" s="58">
        <f>+SUMIF(Tabla356[Code],Tabla354[[#This Row],[Code]],Tabla356[QTY GARRAFON])</f>
        <v>0</v>
      </c>
      <c r="E3" s="59">
        <f>+SUMIF(Tabla3568[Code],Tabla354[[#This Row],[Code]],Tabla3568[QTY])</f>
        <v>0</v>
      </c>
      <c r="F3" s="61">
        <f>+(Tabla354[[#This Row],[Initial Inventory (Garrafones)]]+Tabla354[[#This Row],[Input ]])-Tabla354[[#This Row],[Output]]</f>
        <v>5</v>
      </c>
      <c r="G3" s="60">
        <f>+Tabla354[[#This Row],[Stock (qty)]]*5</f>
        <v>25</v>
      </c>
      <c r="H3" s="60">
        <v>15</v>
      </c>
      <c r="I3" s="60">
        <v>3</v>
      </c>
      <c r="J3" s="60">
        <v>6</v>
      </c>
      <c r="K3" s="60">
        <v>100</v>
      </c>
      <c r="L3" s="60"/>
      <c r="M3" s="57" t="str">
        <f>+IF(Tabla354[[#This Row],[Qty Galones]]&gt;Tabla354[[#This Row],[Reoder]],"ESTABLE","ORDENAR")</f>
        <v>ESTABLE</v>
      </c>
    </row>
    <row r="4" spans="1:13" ht="34.35" customHeight="1">
      <c r="A4" s="56" t="s">
        <v>86</v>
      </c>
      <c r="B4" s="57" t="s">
        <v>87</v>
      </c>
      <c r="C4" s="58">
        <v>6</v>
      </c>
      <c r="D4" s="58">
        <f>+SUMIF(Tabla356[Code],Tabla354[[#This Row],[Code]],Tabla356[QTY GARRAFON])</f>
        <v>0</v>
      </c>
      <c r="E4" s="59">
        <f>+SUMIF(Tabla3568[Code],Tabla354[[#This Row],[Code]],Tabla3568[QTY])</f>
        <v>2</v>
      </c>
      <c r="F4" s="61">
        <f>+(Tabla354[[#This Row],[Initial Inventory (Garrafones)]]+Tabla354[[#This Row],[Input ]])-Tabla354[[#This Row],[Output]]</f>
        <v>4</v>
      </c>
      <c r="G4" s="60">
        <f>+Tabla354[[#This Row],[Stock (qty)]]*5</f>
        <v>20</v>
      </c>
      <c r="H4" s="60">
        <v>15</v>
      </c>
      <c r="I4" s="60">
        <v>3</v>
      </c>
      <c r="J4" s="60">
        <v>6</v>
      </c>
      <c r="K4" s="60"/>
      <c r="L4" s="60"/>
      <c r="M4" s="57" t="str">
        <f>+IF(Tabla354[[#This Row],[Qty Galones]]&gt;Tabla354[[#This Row],[Reoder]],"ESTABLE","ORDENAR")</f>
        <v>ESTABLE</v>
      </c>
    </row>
    <row r="5" spans="1:13" ht="34.35" customHeight="1">
      <c r="A5" s="56" t="s">
        <v>88</v>
      </c>
      <c r="B5" s="57" t="s">
        <v>89</v>
      </c>
      <c r="C5" s="58">
        <v>6</v>
      </c>
      <c r="D5" s="58">
        <f>+SUMIF(Tabla356[Code],Tabla354[[#This Row],[Code]],Tabla356[QTY GARRAFON])</f>
        <v>0</v>
      </c>
      <c r="E5" s="59">
        <f>+SUMIF(Tabla3568[Code],Tabla354[[#This Row],[Code]],Tabla3568[QTY])</f>
        <v>5</v>
      </c>
      <c r="F5" s="61">
        <f>+(Tabla354[[#This Row],[Initial Inventory (Garrafones)]]+Tabla354[[#This Row],[Input ]])-Tabla354[[#This Row],[Output]]</f>
        <v>1</v>
      </c>
      <c r="G5" s="60">
        <f>+Tabla354[[#This Row],[Stock (qty)]]*5</f>
        <v>5</v>
      </c>
      <c r="H5" s="60">
        <v>15</v>
      </c>
      <c r="I5" s="60">
        <v>3</v>
      </c>
      <c r="J5" s="60">
        <v>6</v>
      </c>
      <c r="K5" s="60"/>
      <c r="L5" s="60"/>
      <c r="M5" s="57" t="str">
        <f>+IF(Tabla354[[#This Row],[Qty Galones]]&gt;Tabla354[[#This Row],[Reoder]],"ESTABLE","ORDENAR")</f>
        <v>ORDENAR</v>
      </c>
    </row>
    <row r="6" spans="1:13" ht="34.35" customHeight="1">
      <c r="A6" s="56" t="s">
        <v>90</v>
      </c>
      <c r="B6" s="57" t="s">
        <v>91</v>
      </c>
      <c r="C6" s="58">
        <v>5</v>
      </c>
      <c r="D6" s="58">
        <f>+SUMIF(Tabla356[Code],Tabla354[[#This Row],[Code]],Tabla356[QTY GARRAFON])</f>
        <v>0</v>
      </c>
      <c r="E6" s="59">
        <f>+SUMIF(Tabla3568[Code],Tabla354[[#This Row],[Code]],Tabla3568[QTY])</f>
        <v>2</v>
      </c>
      <c r="F6" s="61">
        <f>+(Tabla354[[#This Row],[Initial Inventory (Garrafones)]]+Tabla354[[#This Row],[Input ]])-Tabla354[[#This Row],[Output]]</f>
        <v>3</v>
      </c>
      <c r="G6" s="60">
        <f>+Tabla354[[#This Row],[Stock (qty)]]*5</f>
        <v>15</v>
      </c>
      <c r="H6" s="60">
        <v>15</v>
      </c>
      <c r="I6" s="60">
        <v>3</v>
      </c>
      <c r="J6" s="60">
        <v>6</v>
      </c>
      <c r="K6" s="60">
        <v>100</v>
      </c>
      <c r="L6" s="60"/>
      <c r="M6" s="57" t="str">
        <f>+IF(Tabla354[[#This Row],[Qty Galones]]&gt;Tabla354[[#This Row],[Reoder]],"ESTABLE","ORDENAR")</f>
        <v>ORDENAR</v>
      </c>
    </row>
    <row r="7" spans="1:13" ht="34.35" customHeight="1">
      <c r="A7" s="56" t="s">
        <v>92</v>
      </c>
      <c r="B7" s="57" t="s">
        <v>114</v>
      </c>
      <c r="C7" s="58">
        <v>6</v>
      </c>
      <c r="D7" s="58">
        <f>+SUMIF(Tabla356[Code],Tabla354[[#This Row],[Code]],Tabla356[QTY GARRAFON])</f>
        <v>0</v>
      </c>
      <c r="E7" s="59">
        <f>+SUMIF(Tabla3568[Code],Tabla354[[#This Row],[Code]],Tabla3568[QTY])</f>
        <v>1</v>
      </c>
      <c r="F7" s="61">
        <f>+(Tabla354[[#This Row],[Initial Inventory (Garrafones)]]+Tabla354[[#This Row],[Input ]])-Tabla354[[#This Row],[Output]]</f>
        <v>5</v>
      </c>
      <c r="G7" s="60">
        <f>+Tabla354[[#This Row],[Stock (qty)]]*5</f>
        <v>25</v>
      </c>
      <c r="H7" s="60">
        <v>15</v>
      </c>
      <c r="I7" s="60">
        <v>3</v>
      </c>
      <c r="J7" s="60">
        <v>6</v>
      </c>
      <c r="K7" s="60"/>
      <c r="L7" s="60"/>
      <c r="M7" s="57" t="str">
        <f>+IF(Tabla354[[#This Row],[Qty Galones]]&gt;Tabla354[[#This Row],[Reoder]],"ESTABLE","ORDENAR")</f>
        <v>ESTABLE</v>
      </c>
    </row>
    <row r="8" spans="1:13" ht="34.35" customHeight="1">
      <c r="A8" s="56" t="s">
        <v>94</v>
      </c>
      <c r="B8" s="57" t="s">
        <v>95</v>
      </c>
      <c r="C8" s="58">
        <v>5</v>
      </c>
      <c r="D8" s="58">
        <f>+SUMIF(Tabla356[Code],Tabla354[[#This Row],[Code]],Tabla356[QTY GARRAFON])</f>
        <v>0</v>
      </c>
      <c r="E8" s="59">
        <f>+SUMIF(Tabla3568[Code],Tabla354[[#This Row],[Code]],Tabla3568[QTY])</f>
        <v>1</v>
      </c>
      <c r="F8" s="61">
        <f>+(Tabla354[[#This Row],[Initial Inventory (Garrafones)]]+Tabla354[[#This Row],[Input ]])-Tabla354[[#This Row],[Output]]</f>
        <v>4</v>
      </c>
      <c r="G8" s="60">
        <f>+Tabla354[[#This Row],[Stock (qty)]]*5</f>
        <v>20</v>
      </c>
      <c r="H8" s="60">
        <v>15</v>
      </c>
      <c r="I8" s="60">
        <v>3</v>
      </c>
      <c r="J8" s="60">
        <v>6</v>
      </c>
      <c r="K8" s="60"/>
      <c r="L8" s="60"/>
      <c r="M8" s="57" t="str">
        <f>+IF(Tabla354[[#This Row],[Qty Galones]]&gt;Tabla354[[#This Row],[Reoder]],"ESTABLE","ORDENAR")</f>
        <v>ESTABLE</v>
      </c>
    </row>
    <row r="9" spans="1:13" ht="34.35" customHeight="1">
      <c r="A9" s="56" t="s">
        <v>96</v>
      </c>
      <c r="B9" s="57" t="s">
        <v>115</v>
      </c>
      <c r="C9" s="58">
        <v>9</v>
      </c>
      <c r="D9" s="58">
        <f>+SUMIF(Tabla356[Code],Tabla354[[#This Row],[Code]],Tabla356[QTY GARRAFON])</f>
        <v>0</v>
      </c>
      <c r="E9" s="59">
        <f>+SUMIF(Tabla3568[Code],Tabla354[[#This Row],[Code]],Tabla3568[QTY])</f>
        <v>0</v>
      </c>
      <c r="F9" s="63">
        <f>+(Tabla354[[#This Row],[Initial Inventory (Garrafones)]]+Tabla354[[#This Row],[Input ]])-Tabla354[[#This Row],[Output]]</f>
        <v>9</v>
      </c>
      <c r="G9" s="60">
        <f>+Tabla354[[#This Row],[Stock (qty)]]*5</f>
        <v>45</v>
      </c>
      <c r="H9" s="60">
        <v>15</v>
      </c>
      <c r="I9" s="60">
        <v>3</v>
      </c>
      <c r="J9" s="60">
        <v>6</v>
      </c>
      <c r="K9" s="60"/>
      <c r="L9" s="60"/>
      <c r="M9" s="57" t="str">
        <f>+IF(Tabla354[[#This Row],[Qty Galones]]&gt;Tabla354[[#This Row],[Reoder]],"ESTABLE","ORDENAR")</f>
        <v>ESTABLE</v>
      </c>
    </row>
    <row r="10" spans="1:13" ht="34.35" customHeight="1">
      <c r="A10" s="56" t="s">
        <v>98</v>
      </c>
      <c r="B10" s="57" t="s">
        <v>99</v>
      </c>
      <c r="C10" s="58">
        <v>12</v>
      </c>
      <c r="D10" s="58">
        <f>+SUMIF(Tabla356[Code],Tabla354[[#This Row],[Code]],Tabla356[QTY GARRAFON])</f>
        <v>0</v>
      </c>
      <c r="E10" s="65">
        <f>+SUMIF(Tabla3568[Code],Tabla354[[#This Row],[Code]],Tabla3568[QTY])</f>
        <v>3</v>
      </c>
      <c r="F10" s="67">
        <f>+(Tabla354[[#This Row],[Initial Inventory (Garrafones)]]+Tabla354[[#This Row],[Input ]])-Tabla354[[#This Row],[Output]]</f>
        <v>9</v>
      </c>
      <c r="G10" s="66">
        <f>+Tabla354[[#This Row],[Stock (qty)]]*5</f>
        <v>45</v>
      </c>
      <c r="H10" s="60">
        <v>15</v>
      </c>
      <c r="I10" s="60">
        <v>3</v>
      </c>
      <c r="J10" s="60">
        <v>6</v>
      </c>
      <c r="K10" s="60"/>
      <c r="L10" s="60">
        <v>100</v>
      </c>
      <c r="M10" s="57" t="str">
        <f>+IF(Tabla354[[#This Row],[Qty Galones]]&gt;Tabla354[[#This Row],[Reoder]],"ESTABLE","ORDENAR")</f>
        <v>ESTABLE</v>
      </c>
    </row>
    <row r="11" spans="1:13" ht="34.35" customHeight="1">
      <c r="A11" s="56" t="s">
        <v>100</v>
      </c>
      <c r="B11" s="57" t="s">
        <v>101</v>
      </c>
      <c r="C11" s="58">
        <v>28</v>
      </c>
      <c r="D11" s="58">
        <f>+SUMIF(Tabla356[Code],Tabla354[[#This Row],[Code]],Tabla356[QTY GARRAFON])</f>
        <v>0</v>
      </c>
      <c r="E11" s="65">
        <f>+SUMIF(Tabla3568[Code],Tabla354[[#This Row],[Code]],Tabla3568[QTY])</f>
        <v>1</v>
      </c>
      <c r="F11" s="67">
        <f>+(Tabla354[[#This Row],[Initial Inventory (Garrafones)]]+Tabla354[[#This Row],[Input ]])-Tabla354[[#This Row],[Output]]</f>
        <v>27</v>
      </c>
      <c r="G11" s="66">
        <f>+Tabla354[[#This Row],[Stock (qty)]]*5</f>
        <v>135</v>
      </c>
      <c r="H11" s="60">
        <v>15</v>
      </c>
      <c r="I11" s="60">
        <v>3</v>
      </c>
      <c r="J11" s="60">
        <v>6</v>
      </c>
      <c r="K11" s="60">
        <v>100</v>
      </c>
      <c r="L11" s="60"/>
      <c r="M11" s="57" t="str">
        <f>+IF(Tabla354[[#This Row],[Qty Galones]]&gt;Tabla354[[#This Row],[Reoder]],"ESTABLE","ORDENAR")</f>
        <v>ESTABLE</v>
      </c>
    </row>
    <row r="12" spans="1:13" ht="15" customHeight="1">
      <c r="F12" s="64"/>
    </row>
    <row r="20" spans="7:7" ht="15" customHeight="1">
      <c r="G20" s="62"/>
    </row>
  </sheetData>
  <mergeCells count="1">
    <mergeCell ref="A1:M1"/>
  </mergeCells>
  <conditionalFormatting sqref="A1:A1048576">
    <cfRule type="duplicateValues" dxfId="19" priority="5"/>
  </conditionalFormatting>
  <conditionalFormatting sqref="M2:M1048576">
    <cfRule type="cellIs" dxfId="18" priority="4" operator="equal">
      <formula>"""INESTABLE"""</formula>
    </cfRule>
  </conditionalFormatting>
  <conditionalFormatting sqref="M3:M11">
    <cfRule type="cellIs" dxfId="17" priority="2" operator="equal">
      <formula>"ORDENAR"</formula>
    </cfRule>
    <cfRule type="cellIs" dxfId="16" priority="3" operator="equal">
      <formula>$M$1</formula>
    </cfRule>
  </conditionalFormatting>
  <conditionalFormatting sqref="A3:M11">
    <cfRule type="colorScale" priority="6">
      <colorScale>
        <cfvo type="formula" val="$M$3=&quot;INESTABLE&quot;"/>
        <cfvo type="max"/>
        <color rgb="FFFF7128"/>
        <color rgb="FFFFEF9C"/>
      </colorScale>
    </cfRule>
  </conditionalFormatting>
  <conditionalFormatting sqref="A3:H3 A4:A11 H4:H11">
    <cfRule type="colorScale" priority="7">
      <colorScale>
        <cfvo type="formula" val="$M$3=&quot;INESTABLE&quot;"/>
        <cfvo type="max"/>
        <color rgb="FFFF7C80"/>
        <color rgb="FFFFEF9C"/>
      </colorScale>
    </cfRule>
  </conditionalFormatting>
  <conditionalFormatting sqref="A3:L3 A4:A11 H4:L11">
    <cfRule type="colorScale" priority="8">
      <colorScale>
        <cfvo type="formula" val="$M$3=$M$1"/>
        <cfvo type="max"/>
        <color rgb="FFFF7C80"/>
        <color rgb="FFFFEF9C"/>
      </colorScale>
    </cfRule>
  </conditionalFormatting>
  <conditionalFormatting sqref="H4:H11">
    <cfRule type="colorScale" priority="9">
      <colorScale>
        <cfvo type="formula" val="$M$3=&quot;INESTABLE&quot;"/>
        <cfvo type="max"/>
        <color rgb="FFFF7C80"/>
        <color rgb="FFFFEF9C"/>
      </colorScale>
    </cfRule>
  </conditionalFormatting>
  <conditionalFormatting sqref="H4:H11">
    <cfRule type="colorScale" priority="10">
      <colorScale>
        <cfvo type="formula" val="$M$3=$M$1"/>
        <cfvo type="max"/>
        <color rgb="FFFF7C80"/>
        <color rgb="FFFFEF9C"/>
      </colorScale>
    </cfRule>
  </conditionalFormatting>
  <conditionalFormatting sqref="F12">
    <cfRule type="colorScale" priority="1">
      <colorScale>
        <cfvo type="formula" val="$M$3=&quot;INESTABLE&quot;"/>
        <cfvo type="max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73" orientation="landscape" horizontalDpi="360" verticalDpi="36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4F247-CCE5-407A-9523-56641A5B09CB}">
  <dimension ref="A1:G17"/>
  <sheetViews>
    <sheetView workbookViewId="0">
      <selection activeCell="K17" sqref="K17"/>
    </sheetView>
  </sheetViews>
  <sheetFormatPr defaultColWidth="11.42578125" defaultRowHeight="14.45"/>
  <cols>
    <col min="3" max="3" width="38.140625" bestFit="1" customWidth="1"/>
  </cols>
  <sheetData>
    <row r="1" spans="1:7" ht="28.5">
      <c r="A1" s="73" t="s">
        <v>116</v>
      </c>
      <c r="B1" s="73"/>
      <c r="C1" s="73"/>
      <c r="D1" s="73"/>
      <c r="E1" s="73"/>
      <c r="F1" s="73"/>
      <c r="G1" s="73"/>
    </row>
    <row r="2" spans="1:7" ht="52.5" customHeight="1">
      <c r="A2" s="74" t="s">
        <v>117</v>
      </c>
      <c r="B2" s="74"/>
      <c r="C2" s="26" t="s">
        <v>118</v>
      </c>
      <c r="E2" s="30"/>
      <c r="F2" s="29">
        <v>60</v>
      </c>
      <c r="G2" s="29">
        <v>2.85</v>
      </c>
    </row>
    <row r="3" spans="1:7" ht="65.25" customHeight="1">
      <c r="A3" s="75">
        <v>34.4</v>
      </c>
      <c r="B3" s="75"/>
      <c r="C3" s="28">
        <f>+A3/G3</f>
        <v>724.21052631578948</v>
      </c>
      <c r="E3" s="30"/>
      <c r="F3" s="31" t="s">
        <v>119</v>
      </c>
      <c r="G3" s="29">
        <f>+G2/F2</f>
        <v>4.7500000000000001E-2</v>
      </c>
    </row>
    <row r="4" spans="1:7">
      <c r="A4" s="76"/>
      <c r="B4" s="76"/>
    </row>
    <row r="5" spans="1:7">
      <c r="A5" s="76"/>
      <c r="B5" s="76"/>
    </row>
    <row r="9" spans="1:7" ht="28.5">
      <c r="A9" s="77" t="s">
        <v>120</v>
      </c>
      <c r="B9" s="77"/>
      <c r="C9" s="77"/>
      <c r="D9" s="77"/>
      <c r="E9" s="77"/>
      <c r="F9" s="77"/>
      <c r="G9" s="77"/>
    </row>
    <row r="10" spans="1:7" ht="31.5" customHeight="1">
      <c r="A10" s="74" t="s">
        <v>117</v>
      </c>
      <c r="B10" s="74"/>
      <c r="C10" s="26" t="s">
        <v>118</v>
      </c>
      <c r="F10" s="27">
        <v>50</v>
      </c>
      <c r="G10" s="27">
        <v>0.95</v>
      </c>
    </row>
    <row r="11" spans="1:7" ht="45.95">
      <c r="A11" s="78">
        <v>5811</v>
      </c>
      <c r="B11" s="78"/>
      <c r="C11" s="28">
        <f>+A11/G11</f>
        <v>305842.10526315792</v>
      </c>
      <c r="F11" s="32" t="s">
        <v>119</v>
      </c>
      <c r="G11" s="27">
        <f>+G10/F10</f>
        <v>1.9E-2</v>
      </c>
    </row>
    <row r="15" spans="1:7" ht="28.5">
      <c r="A15" s="73" t="s">
        <v>121</v>
      </c>
      <c r="B15" s="73"/>
      <c r="C15" s="73"/>
      <c r="D15" s="73"/>
      <c r="E15" s="73"/>
      <c r="F15" s="73"/>
      <c r="G15" s="73"/>
    </row>
    <row r="16" spans="1:7" ht="21">
      <c r="A16" s="74" t="s">
        <v>117</v>
      </c>
      <c r="B16" s="74"/>
      <c r="C16" s="26" t="s">
        <v>118</v>
      </c>
      <c r="E16" s="30"/>
      <c r="F16" s="29">
        <v>50</v>
      </c>
      <c r="G16" s="29">
        <v>1.5</v>
      </c>
    </row>
    <row r="17" spans="1:7" ht="45.95">
      <c r="A17" s="75">
        <v>929.1</v>
      </c>
      <c r="B17" s="75"/>
      <c r="C17" s="28">
        <f>+A17/G17</f>
        <v>30970.000000000004</v>
      </c>
      <c r="E17" s="30"/>
      <c r="F17" s="31" t="s">
        <v>119</v>
      </c>
      <c r="G17" s="29">
        <f>+G16/F16</f>
        <v>0.03</v>
      </c>
    </row>
  </sheetData>
  <mergeCells count="11">
    <mergeCell ref="A15:G15"/>
    <mergeCell ref="A16:B16"/>
    <mergeCell ref="A17:B17"/>
    <mergeCell ref="A9:G9"/>
    <mergeCell ref="A10:B10"/>
    <mergeCell ref="A11:B11"/>
    <mergeCell ref="A1:G1"/>
    <mergeCell ref="A2:B2"/>
    <mergeCell ref="A3:B3"/>
    <mergeCell ref="A4:B4"/>
    <mergeCell ref="A5:B5"/>
  </mergeCells>
  <pageMargins left="0.7" right="0.7" top="0.75" bottom="0.75" header="0.3" footer="0.3"/>
  <pageSetup paperSize="9"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0E2587DC81F204E95E790B17B43F5F9" ma:contentTypeVersion="4" ma:contentTypeDescription="Create a new document." ma:contentTypeScope="" ma:versionID="b33b8822e9abc6d6bc962a86b3ea3ceb">
  <xsd:schema xmlns:xsd="http://www.w3.org/2001/XMLSchema" xmlns:xs="http://www.w3.org/2001/XMLSchema" xmlns:p="http://schemas.microsoft.com/office/2006/metadata/properties" xmlns:ns2="bd39ce25-92b0-4ad2-bf10-17f71477c418" xmlns:ns3="d933404a-9994-489e-b002-c53538411967" targetNamespace="http://schemas.microsoft.com/office/2006/metadata/properties" ma:root="true" ma:fieldsID="28c48f7fb24c94487dd04b609ceef112" ns2:_="" ns3:_="">
    <xsd:import namespace="bd39ce25-92b0-4ad2-bf10-17f71477c418"/>
    <xsd:import namespace="d933404a-9994-489e-b002-c5353841196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39ce25-92b0-4ad2-bf10-17f71477c41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33404a-9994-489e-b002-c5353841196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CAB1995-FD33-4272-927F-90A2A7ED9166}"/>
</file>

<file path=customXml/itemProps2.xml><?xml version="1.0" encoding="utf-8"?>
<ds:datastoreItem xmlns:ds="http://schemas.openxmlformats.org/officeDocument/2006/customXml" ds:itemID="{4B289FB5-8C7F-499E-8B28-8D7A8A39D0DD}"/>
</file>

<file path=customXml/itemProps3.xml><?xml version="1.0" encoding="utf-8"?>
<ds:datastoreItem xmlns:ds="http://schemas.openxmlformats.org/officeDocument/2006/customXml" ds:itemID="{CE700931-BACA-43E7-BB95-69FD4AE0B28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Sergio Santana</dc:creator>
  <cp:keywords/>
  <dc:description/>
  <cp:lastModifiedBy/>
  <cp:revision/>
  <dcterms:created xsi:type="dcterms:W3CDTF">2022-06-13T11:23:14Z</dcterms:created>
  <dcterms:modified xsi:type="dcterms:W3CDTF">2022-12-25T06:08:54Z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0x01010000E2587DC81F204E95E790B17B43F5F9</vt:lpwstr>
  </property>
  <property fmtid="{D5CDD505-2E9C-101B-9397-08002B2CF9AE}" pid="3" name="Order">
    <vt:r8>106600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  <property fmtid="{D5CDD505-2E9C-101B-9397-08002B2CF9AE}" pid="7" name="MediaServiceImageTags">
    <vt:lpwstr/>
  </property>
</Properties>
</file>